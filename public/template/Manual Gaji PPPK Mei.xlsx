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pp\"/>
    </mc:Choice>
  </mc:AlternateContent>
  <xr:revisionPtr revIDLastSave="0" documentId="13_ncr:1_{1EFB92BA-FBE4-430E-9442-0C9B163F5F22}" xr6:coauthVersionLast="47" xr6:coauthVersionMax="47" xr10:uidLastSave="{00000000-0000-0000-0000-000000000000}"/>
  <bookViews>
    <workbookView xWindow="-110" yWindow="-110" windowWidth="19420" windowHeight="10300" activeTab="6" xr2:uid="{B3B59D13-B157-48AA-A4E2-063CBD38D024}"/>
  </bookViews>
  <sheets>
    <sheet name="SPP1" sheetId="9" r:id="rId1"/>
    <sheet name="SPP2" sheetId="10" r:id="rId2"/>
    <sheet name="SPP3" sheetId="11" r:id="rId3"/>
    <sheet name="SPM" sheetId="8" r:id="rId4"/>
    <sheet name="PERBEDAAN" sheetId="7" r:id="rId5"/>
    <sheet name="RINCIAN" sheetId="12" r:id="rId6"/>
    <sheet name="JML. PEG" sheetId="5" r:id="rId7"/>
    <sheet name="KUNCI" sheetId="1" r:id="rId8"/>
    <sheet name="ENTRI DATA" sheetId="4" r:id="rId9"/>
    <sheet name="DATA UMUM" sheetId="6" r:id="rId10"/>
  </sheets>
  <externalReferences>
    <externalReference r:id="rId11"/>
    <externalReference r:id="rId12"/>
    <externalReference r:id="rId13"/>
  </externalReferences>
  <definedNames>
    <definedName name="anak">'ENTRI DATA'!$G:$G</definedName>
    <definedName name="anak_C">'ENTRI DATA'!$G$4:$G$24</definedName>
    <definedName name="c_jukot">'ENTRI DATA'!$R$4:$R$24</definedName>
    <definedName name="dada">'ENTRI DATA'!$D$4:$U$19</definedName>
    <definedName name="dakung">'ENTRI DATA'!$A$4:$U$19</definedName>
    <definedName name="data">'ENTRI DATA'!$D$4:$U$24</definedName>
    <definedName name="g_gapok">KUNCI!$G$25</definedName>
    <definedName name="g_keluarga">KUNCI!$K$25</definedName>
    <definedName name="g_tjab">KUNCI!#REF!</definedName>
    <definedName name="gajip">'ENTRI DATA'!$H:$H</definedName>
    <definedName name="gapok">'ENTRI DATA'!$H$4:$H$19</definedName>
    <definedName name="gapok_c">'ENTRI DATA'!$H$4:$H$24</definedName>
    <definedName name="gapokC">'ENTRI DATA'!$H$4:$H$19</definedName>
    <definedName name="gbul">KUNCI!$R$25</definedName>
    <definedName name="gol">'ENTRI DATA'!$D:$D</definedName>
    <definedName name="gol_C">'ENTRI DATA'!$D$4:$D$24</definedName>
    <definedName name="golC">'ENTRI DATA'!$D$4:$D$19</definedName>
    <definedName name="golong">'ENTRI DATA'!$D$4:$D$19</definedName>
    <definedName name="gpjak">KUNCI!$Q$25</definedName>
    <definedName name="gtjab">KUNCI!$L$25</definedName>
    <definedName name="gtmum">KUNCI!$M$25</definedName>
    <definedName name="gtras">KUNCI!$P$25</definedName>
    <definedName name="hasil_kotor">KUNCI!$T$5</definedName>
    <definedName name="istri">'ENTRI DATA'!$F:$F</definedName>
    <definedName name="istri_C">'ENTRI DATA'!$F$4:$F$24</definedName>
    <definedName name="iwp">'ENTRI DATA'!$S:$S</definedName>
    <definedName name="iwpC1">'ENTRI DATA'!$S$4:$S$24</definedName>
    <definedName name="iwpc8">'ENTRI DATA'!$T$4:$T$24</definedName>
    <definedName name="iwpsen">'ENTRI DATA'!$T:$T</definedName>
    <definedName name="jml_diminta">'SPP1'!$E$29</definedName>
    <definedName name="jml_kotor">KUNCI!$Y$5</definedName>
    <definedName name="peg">'ENTRI DATA'!$E:$E</definedName>
    <definedName name="peg_c">'ENTRI DATA'!$E$4:$E$24</definedName>
    <definedName name="_xlnm.Print_Area" localSheetId="6">'JML. PEG'!$A$1:$H$40</definedName>
    <definedName name="_xlnm.Print_Area" localSheetId="4">PERBEDAAN!$A$1:$W$41</definedName>
    <definedName name="_xlnm.Print_Area" localSheetId="5">RINCIAN!$A$1:$H$50</definedName>
    <definedName name="terss">'SPP1'!$E$24</definedName>
    <definedName name="tuber">'ENTRI DATA'!$O:$O</definedName>
    <definedName name="tubul">'ENTRI DATA'!$Q:$Q</definedName>
    <definedName name="tufung">'ENTRI DATA'!$M:$M</definedName>
    <definedName name="tujak">'ENTRI DATA'!$P:$P</definedName>
    <definedName name="tumum">'ENTRI DATA'!$L:$L</definedName>
    <definedName name="tun_esel">'ENTRI DATA'!$K$4:$K$24</definedName>
    <definedName name="tuna">'ENTRI DATA'!$J:$J</definedName>
    <definedName name="tuna_c">'ENTRI DATA'!$J$4:$J$24</definedName>
    <definedName name="tunc_ber">'ENTRI DATA'!$O$4:$O$24</definedName>
    <definedName name="tunc_bulat">'ENTRI DATA'!$Q$4:$Q$24</definedName>
    <definedName name="tunc_esel">'ENTRI DATA'!$K$4:$K$24</definedName>
    <definedName name="tunc_fu">'ENTRI DATA'!$M$4:$M$24</definedName>
    <definedName name="tunc_paj">'ENTRI DATA'!$P$4:$P$24</definedName>
    <definedName name="tunc_um">'ENTRI DATA'!$L$4:$L$24</definedName>
    <definedName name="tunce_sus">'ENTRI DATA'!$N$4:$N$24</definedName>
    <definedName name="tunis">'ENTRI DATA'!$I:$I</definedName>
    <definedName name="tunis_C">'ENTRI DATA'!$I$4:$I$24</definedName>
    <definedName name="tusel">'ENTRI DATA'!$K:$K</definedName>
    <definedName name="tusus">'ENTRI DATA'!$N:$N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7" l="1"/>
  <c r="F8" i="12"/>
  <c r="V5" i="4"/>
  <c r="V4" i="4"/>
  <c r="D20" i="12"/>
  <c r="D19" i="12"/>
  <c r="D18" i="12"/>
  <c r="D17" i="12"/>
  <c r="I17" i="7"/>
  <c r="D34" i="12" l="1"/>
  <c r="D32" i="12"/>
  <c r="D31" i="12"/>
  <c r="D29" i="12"/>
  <c r="D26" i="12"/>
  <c r="D25" i="12"/>
  <c r="D24" i="12"/>
  <c r="G26" i="12"/>
  <c r="F26" i="12"/>
  <c r="F23" i="12" s="1"/>
  <c r="G25" i="12"/>
  <c r="D22" i="5"/>
  <c r="D23" i="5"/>
  <c r="D20" i="5"/>
  <c r="G23" i="12" l="1"/>
  <c r="E19" i="1"/>
  <c r="D19" i="1"/>
  <c r="C19" i="1"/>
  <c r="F19" i="1" s="1"/>
  <c r="E18" i="1"/>
  <c r="D18" i="1"/>
  <c r="C18" i="1"/>
  <c r="F18" i="1" s="1"/>
  <c r="E17" i="1"/>
  <c r="D17" i="1"/>
  <c r="C17" i="1"/>
  <c r="F17" i="1" s="1"/>
  <c r="E16" i="1"/>
  <c r="D16" i="1"/>
  <c r="C16" i="1"/>
  <c r="F16" i="1" s="1"/>
  <c r="G22" i="5"/>
  <c r="G9" i="5"/>
  <c r="G10" i="5"/>
  <c r="G11" i="5"/>
  <c r="G12" i="5"/>
  <c r="G13" i="5"/>
  <c r="G15" i="5"/>
  <c r="G16" i="5"/>
  <c r="G17" i="5"/>
  <c r="G18" i="5"/>
  <c r="G20" i="5"/>
  <c r="G21" i="5"/>
  <c r="G23" i="5"/>
  <c r="G25" i="5"/>
  <c r="G26" i="5"/>
  <c r="G27" i="5"/>
  <c r="G28" i="5"/>
  <c r="C28" i="5"/>
  <c r="H28" i="5" s="1"/>
  <c r="F9" i="5"/>
  <c r="E14" i="5"/>
  <c r="D14" i="5"/>
  <c r="C14" i="5"/>
  <c r="E25" i="4"/>
  <c r="G25" i="4"/>
  <c r="F25" i="4"/>
  <c r="H25" i="4"/>
  <c r="K25" i="4"/>
  <c r="L25" i="4"/>
  <c r="M25" i="4"/>
  <c r="N25" i="4"/>
  <c r="P25" i="4"/>
  <c r="Q25" i="4"/>
  <c r="S25" i="4"/>
  <c r="T25" i="4"/>
  <c r="C12" i="1"/>
  <c r="C13" i="1"/>
  <c r="C6" i="1"/>
  <c r="F12" i="5"/>
  <c r="C18" i="12"/>
  <c r="C19" i="12"/>
  <c r="H21" i="12"/>
  <c r="H22" i="12"/>
  <c r="C25" i="12"/>
  <c r="C26" i="12"/>
  <c r="H29" i="12"/>
  <c r="C30" i="12"/>
  <c r="C37" i="12" s="1"/>
  <c r="D30" i="12"/>
  <c r="F37" i="12"/>
  <c r="G37" i="12"/>
  <c r="C36" i="12"/>
  <c r="D36" i="12"/>
  <c r="F36" i="12"/>
  <c r="G36" i="12"/>
  <c r="F41" i="12"/>
  <c r="B47" i="12"/>
  <c r="G47" i="12"/>
  <c r="B48" i="12"/>
  <c r="G48" i="12"/>
  <c r="A5" i="11"/>
  <c r="H15" i="11"/>
  <c r="H16" i="11"/>
  <c r="H17" i="11"/>
  <c r="H19" i="11"/>
  <c r="H20" i="11"/>
  <c r="H21" i="11"/>
  <c r="H22" i="11"/>
  <c r="E26" i="11"/>
  <c r="B32" i="11"/>
  <c r="E32" i="11"/>
  <c r="B33" i="11"/>
  <c r="E33" i="11"/>
  <c r="A5" i="10"/>
  <c r="J21" i="10"/>
  <c r="J22" i="10"/>
  <c r="J26" i="10"/>
  <c r="J28" i="10" s="1"/>
  <c r="J29" i="10" s="1"/>
  <c r="J27" i="10"/>
  <c r="H31" i="10"/>
  <c r="G38" i="10"/>
  <c r="G39" i="10"/>
  <c r="E24" i="9"/>
  <c r="J11" i="8"/>
  <c r="N11" i="8"/>
  <c r="R11" i="8"/>
  <c r="N12" i="8"/>
  <c r="N13" i="8"/>
  <c r="R30" i="8"/>
  <c r="B25" i="9" a="1"/>
  <c r="D37" i="12" l="1"/>
  <c r="D38" i="12" s="1"/>
  <c r="D23" i="12"/>
  <c r="C23" i="12"/>
  <c r="G14" i="5"/>
  <c r="H9" i="5"/>
  <c r="G19" i="5"/>
  <c r="G29" i="5"/>
  <c r="H12" i="5"/>
  <c r="G24" i="5"/>
  <c r="G16" i="12"/>
  <c r="H24" i="11"/>
  <c r="G38" i="12"/>
  <c r="D33" i="12"/>
  <c r="F10" i="12" s="1"/>
  <c r="H34" i="12"/>
  <c r="F33" i="12"/>
  <c r="H36" i="12"/>
  <c r="H18" i="12"/>
  <c r="H31" i="12"/>
  <c r="H26" i="12"/>
  <c r="C33" i="12"/>
  <c r="H25" i="12"/>
  <c r="F16" i="12"/>
  <c r="H35" i="12"/>
  <c r="H32" i="12"/>
  <c r="H27" i="12"/>
  <c r="H19" i="12"/>
  <c r="F38" i="12"/>
  <c r="G33" i="12"/>
  <c r="H20" i="12"/>
  <c r="C38" i="12"/>
  <c r="H28" i="12"/>
  <c r="H30" i="12"/>
  <c r="H24" i="12"/>
  <c r="B25" i="9"/>
  <c r="N30" i="10"/>
  <c r="N33" i="10" s="1"/>
  <c r="H37" i="12" l="1"/>
  <c r="H23" i="12"/>
  <c r="G30" i="5"/>
  <c r="G39" i="12"/>
  <c r="C39" i="12"/>
  <c r="F39" i="12"/>
  <c r="D39" i="12"/>
  <c r="H33" i="12"/>
  <c r="H38" i="12"/>
  <c r="H39" i="12" l="1"/>
  <c r="M28" i="7" l="1"/>
  <c r="W28" i="7" s="1"/>
  <c r="M27" i="7"/>
  <c r="W27" i="7" s="1"/>
  <c r="M23" i="7"/>
  <c r="M22" i="7"/>
  <c r="M21" i="7"/>
  <c r="M20" i="7"/>
  <c r="M18" i="7"/>
  <c r="M16" i="7"/>
  <c r="W16" i="7" s="1"/>
  <c r="M15" i="7"/>
  <c r="M11" i="7"/>
  <c r="M12" i="7"/>
  <c r="M13" i="7"/>
  <c r="M10" i="7"/>
  <c r="K28" i="7"/>
  <c r="R28" i="7" s="1"/>
  <c r="R29" i="7" s="1"/>
  <c r="J28" i="7"/>
  <c r="P28" i="7" s="1"/>
  <c r="I28" i="7"/>
  <c r="K27" i="7"/>
  <c r="J27" i="7"/>
  <c r="I27" i="7"/>
  <c r="K26" i="7"/>
  <c r="J26" i="7"/>
  <c r="I26" i="7"/>
  <c r="K25" i="7"/>
  <c r="S25" i="7" s="1"/>
  <c r="S29" i="7" s="1"/>
  <c r="J25" i="7"/>
  <c r="I25" i="7"/>
  <c r="O25" i="7" s="1"/>
  <c r="K23" i="7"/>
  <c r="J23" i="7"/>
  <c r="I23" i="7"/>
  <c r="K22" i="7"/>
  <c r="J22" i="7"/>
  <c r="I22" i="7"/>
  <c r="K21" i="7"/>
  <c r="J21" i="7"/>
  <c r="I21" i="7"/>
  <c r="K20" i="7"/>
  <c r="J20" i="7"/>
  <c r="I20" i="7"/>
  <c r="K18" i="7"/>
  <c r="J18" i="7"/>
  <c r="I18" i="7"/>
  <c r="K17" i="7"/>
  <c r="J17" i="7"/>
  <c r="K16" i="7"/>
  <c r="J16" i="7"/>
  <c r="I16" i="7"/>
  <c r="K15" i="7"/>
  <c r="J15" i="7"/>
  <c r="I15" i="7"/>
  <c r="I11" i="7"/>
  <c r="O11" i="7" s="1"/>
  <c r="I12" i="7"/>
  <c r="O12" i="7" s="1"/>
  <c r="I13" i="7"/>
  <c r="O13" i="7" s="1"/>
  <c r="I10" i="7"/>
  <c r="O10" i="7" s="1"/>
  <c r="K11" i="7"/>
  <c r="K12" i="7"/>
  <c r="K13" i="7"/>
  <c r="K10" i="7"/>
  <c r="J11" i="7"/>
  <c r="J12" i="7"/>
  <c r="J13" i="7"/>
  <c r="J10" i="7"/>
  <c r="G28" i="7"/>
  <c r="G27" i="7"/>
  <c r="G26" i="7"/>
  <c r="G25" i="7"/>
  <c r="G23" i="7"/>
  <c r="G22" i="7"/>
  <c r="G21" i="7"/>
  <c r="G20" i="7"/>
  <c r="G18" i="7"/>
  <c r="G16" i="7"/>
  <c r="G15" i="7"/>
  <c r="G12" i="7"/>
  <c r="S39" i="7"/>
  <c r="S38" i="7"/>
  <c r="S32" i="7"/>
  <c r="V29" i="7"/>
  <c r="N29" i="7"/>
  <c r="V24" i="7"/>
  <c r="U24" i="7"/>
  <c r="S24" i="7"/>
  <c r="Q24" i="7"/>
  <c r="O24" i="7"/>
  <c r="V19" i="7"/>
  <c r="T19" i="7"/>
  <c r="S19" i="7"/>
  <c r="R19" i="7"/>
  <c r="Q19" i="7"/>
  <c r="P19" i="7"/>
  <c r="O19" i="7"/>
  <c r="N19" i="7"/>
  <c r="T14" i="7"/>
  <c r="S14" i="7"/>
  <c r="R14" i="7"/>
  <c r="Q14" i="7"/>
  <c r="P14" i="7"/>
  <c r="N14" i="7"/>
  <c r="U14" i="7"/>
  <c r="V14" i="7"/>
  <c r="A5" i="5"/>
  <c r="C26" i="5"/>
  <c r="H26" i="5" s="1"/>
  <c r="C27" i="5"/>
  <c r="H27" i="5" s="1"/>
  <c r="C25" i="5"/>
  <c r="H25" i="5" s="1"/>
  <c r="H21" i="5"/>
  <c r="H22" i="5"/>
  <c r="H23" i="5"/>
  <c r="H20" i="5"/>
  <c r="E16" i="5"/>
  <c r="H16" i="5" s="1"/>
  <c r="E17" i="5"/>
  <c r="H17" i="5" s="1"/>
  <c r="E18" i="5"/>
  <c r="H18" i="5" s="1"/>
  <c r="E15" i="5"/>
  <c r="H15" i="5" s="1"/>
  <c r="F13" i="5"/>
  <c r="H13" i="5" s="1"/>
  <c r="F10" i="5"/>
  <c r="H10" i="5" s="1"/>
  <c r="F11" i="5"/>
  <c r="H11" i="5" s="1"/>
  <c r="E40" i="5"/>
  <c r="E39" i="5"/>
  <c r="E33" i="5"/>
  <c r="F29" i="5"/>
  <c r="E29" i="5"/>
  <c r="D29" i="5"/>
  <c r="F24" i="5"/>
  <c r="E24" i="5"/>
  <c r="C24" i="5"/>
  <c r="F19" i="5"/>
  <c r="D19" i="5"/>
  <c r="C19" i="5"/>
  <c r="H14" i="5" l="1"/>
  <c r="H19" i="5"/>
  <c r="H24" i="5"/>
  <c r="K24" i="7"/>
  <c r="F14" i="5"/>
  <c r="F30" i="5" s="1"/>
  <c r="L15" i="7"/>
  <c r="L27" i="7"/>
  <c r="L25" i="7"/>
  <c r="M24" i="7"/>
  <c r="L20" i="7"/>
  <c r="L26" i="7"/>
  <c r="I19" i="7"/>
  <c r="J24" i="7"/>
  <c r="L23" i="7"/>
  <c r="J19" i="7"/>
  <c r="L18" i="7"/>
  <c r="L21" i="7"/>
  <c r="J29" i="7"/>
  <c r="K29" i="7"/>
  <c r="K19" i="7"/>
  <c r="L22" i="7"/>
  <c r="L28" i="7"/>
  <c r="O14" i="7"/>
  <c r="Q25" i="7"/>
  <c r="Q29" i="7" s="1"/>
  <c r="Q30" i="7" s="1"/>
  <c r="R21" i="7"/>
  <c r="R24" i="7" s="1"/>
  <c r="R30" i="7" s="1"/>
  <c r="I24" i="7"/>
  <c r="W20" i="7"/>
  <c r="L17" i="7"/>
  <c r="L16" i="7"/>
  <c r="W12" i="7"/>
  <c r="M14" i="7"/>
  <c r="I14" i="7"/>
  <c r="L11" i="7"/>
  <c r="K14" i="7"/>
  <c r="L13" i="7"/>
  <c r="L12" i="7"/>
  <c r="J14" i="7"/>
  <c r="W10" i="7"/>
  <c r="L10" i="7"/>
  <c r="I29" i="7"/>
  <c r="W22" i="7"/>
  <c r="P21" i="7"/>
  <c r="P24" i="7" s="1"/>
  <c r="W11" i="7"/>
  <c r="G13" i="7"/>
  <c r="G11" i="7"/>
  <c r="G10" i="7"/>
  <c r="D14" i="7"/>
  <c r="V30" i="7"/>
  <c r="E24" i="7"/>
  <c r="H24" i="7"/>
  <c r="F24" i="7"/>
  <c r="F29" i="7"/>
  <c r="W13" i="7"/>
  <c r="W23" i="7"/>
  <c r="T28" i="7"/>
  <c r="T29" i="7" s="1"/>
  <c r="P29" i="7"/>
  <c r="S30" i="7"/>
  <c r="E14" i="7"/>
  <c r="W18" i="7"/>
  <c r="H29" i="7"/>
  <c r="H14" i="7"/>
  <c r="F14" i="7"/>
  <c r="E29" i="7"/>
  <c r="W21" i="7"/>
  <c r="W15" i="7"/>
  <c r="C29" i="5"/>
  <c r="C30" i="5" s="1"/>
  <c r="D24" i="5"/>
  <c r="D30" i="5" s="1"/>
  <c r="E19" i="5"/>
  <c r="E30" i="5" s="1"/>
  <c r="H30" i="5" l="1"/>
  <c r="K30" i="7"/>
  <c r="J30" i="7"/>
  <c r="L29" i="7"/>
  <c r="L19" i="7"/>
  <c r="L24" i="7"/>
  <c r="L14" i="7"/>
  <c r="P30" i="7"/>
  <c r="W14" i="7"/>
  <c r="W24" i="7"/>
  <c r="T21" i="7"/>
  <c r="T24" i="7" s="1"/>
  <c r="T30" i="7" s="1"/>
  <c r="O29" i="7"/>
  <c r="O30" i="7" s="1"/>
  <c r="N21" i="7"/>
  <c r="N24" i="7" s="1"/>
  <c r="N30" i="7" s="1"/>
  <c r="D29" i="7"/>
  <c r="D24" i="7"/>
  <c r="G14" i="7"/>
  <c r="I30" i="7"/>
  <c r="D16" i="12" l="1"/>
  <c r="L30" i="7"/>
  <c r="U25" i="7"/>
  <c r="U29" i="7" s="1"/>
  <c r="U30" i="7" s="1"/>
  <c r="G29" i="7"/>
  <c r="G24" i="7"/>
  <c r="W13" i="1" l="1"/>
  <c r="W12" i="1"/>
  <c r="W11" i="1"/>
  <c r="X11" i="1"/>
  <c r="X24" i="1"/>
  <c r="W24" i="1"/>
  <c r="X23" i="1"/>
  <c r="W23" i="1"/>
  <c r="X22" i="1"/>
  <c r="W22" i="1"/>
  <c r="X21" i="1"/>
  <c r="W21" i="1"/>
  <c r="X19" i="1"/>
  <c r="W19" i="1"/>
  <c r="X18" i="1"/>
  <c r="W18" i="1"/>
  <c r="X17" i="1"/>
  <c r="W17" i="1"/>
  <c r="X16" i="1"/>
  <c r="W16" i="1"/>
  <c r="X13" i="1"/>
  <c r="X12" i="1"/>
  <c r="X9" i="1"/>
  <c r="W9" i="1"/>
  <c r="X8" i="1"/>
  <c r="W8" i="1"/>
  <c r="X7" i="1"/>
  <c r="W7" i="1"/>
  <c r="X6" i="1"/>
  <c r="W6" i="1"/>
  <c r="R13" i="1"/>
  <c r="Q13" i="1"/>
  <c r="P13" i="1"/>
  <c r="R12" i="1"/>
  <c r="Q12" i="1"/>
  <c r="R11" i="1"/>
  <c r="Q11" i="1"/>
  <c r="R24" i="1"/>
  <c r="Q24" i="1"/>
  <c r="R23" i="1"/>
  <c r="Q23" i="1"/>
  <c r="P23" i="1"/>
  <c r="R22" i="1"/>
  <c r="Q22" i="1"/>
  <c r="P22" i="1"/>
  <c r="R21" i="1"/>
  <c r="Q21" i="1"/>
  <c r="P21" i="1"/>
  <c r="R19" i="1"/>
  <c r="Q19" i="1"/>
  <c r="R18" i="1"/>
  <c r="Q18" i="1"/>
  <c r="P18" i="1"/>
  <c r="R17" i="1"/>
  <c r="Q17" i="1"/>
  <c r="P17" i="1"/>
  <c r="R16" i="1"/>
  <c r="Q16" i="1"/>
  <c r="R9" i="1"/>
  <c r="Q9" i="1"/>
  <c r="P9" i="1"/>
  <c r="R8" i="1"/>
  <c r="Q8" i="1"/>
  <c r="P8" i="1"/>
  <c r="R7" i="1"/>
  <c r="Q7" i="1"/>
  <c r="R6" i="1"/>
  <c r="Q6" i="1"/>
  <c r="N24" i="1"/>
  <c r="M24" i="1"/>
  <c r="N23" i="1"/>
  <c r="M23" i="1"/>
  <c r="N22" i="1"/>
  <c r="M22" i="1"/>
  <c r="N21" i="1"/>
  <c r="M21" i="1"/>
  <c r="N19" i="1"/>
  <c r="M19" i="1"/>
  <c r="N18" i="1"/>
  <c r="M18" i="1"/>
  <c r="N17" i="1"/>
  <c r="M17" i="1"/>
  <c r="N16" i="1"/>
  <c r="M16" i="1"/>
  <c r="N13" i="1"/>
  <c r="M13" i="1"/>
  <c r="N12" i="1"/>
  <c r="M12" i="1"/>
  <c r="N11" i="1"/>
  <c r="M11" i="1"/>
  <c r="M7" i="1"/>
  <c r="N7" i="1"/>
  <c r="M8" i="1"/>
  <c r="N8" i="1"/>
  <c r="M9" i="1"/>
  <c r="N9" i="1"/>
  <c r="N6" i="1"/>
  <c r="M6" i="1"/>
  <c r="L24" i="1"/>
  <c r="L23" i="1"/>
  <c r="L22" i="1"/>
  <c r="L21" i="1"/>
  <c r="L19" i="1"/>
  <c r="L18" i="1"/>
  <c r="L17" i="1"/>
  <c r="L16" i="1"/>
  <c r="L13" i="1"/>
  <c r="L12" i="1"/>
  <c r="L11" i="1"/>
  <c r="L7" i="1"/>
  <c r="L8" i="1"/>
  <c r="L9" i="1"/>
  <c r="L6" i="1"/>
  <c r="I23" i="1"/>
  <c r="I22" i="1"/>
  <c r="I21" i="1"/>
  <c r="I18" i="1"/>
  <c r="I17" i="1"/>
  <c r="I13" i="1"/>
  <c r="I9" i="1"/>
  <c r="I8" i="1"/>
  <c r="H23" i="1"/>
  <c r="H22" i="1"/>
  <c r="H21" i="1"/>
  <c r="H18" i="1"/>
  <c r="H17" i="1"/>
  <c r="H13" i="1"/>
  <c r="H8" i="1"/>
  <c r="H9" i="1"/>
  <c r="G9" i="1"/>
  <c r="G8" i="1"/>
  <c r="G7" i="1"/>
  <c r="G6" i="1"/>
  <c r="G24" i="1"/>
  <c r="G23" i="1"/>
  <c r="G22" i="1"/>
  <c r="G21" i="1"/>
  <c r="G19" i="1"/>
  <c r="G18" i="1"/>
  <c r="G17" i="1"/>
  <c r="G16" i="1"/>
  <c r="G11" i="1"/>
  <c r="G12" i="1"/>
  <c r="G13" i="1"/>
  <c r="D6" i="1"/>
  <c r="E6" i="1"/>
  <c r="D7" i="1"/>
  <c r="D8" i="1"/>
  <c r="D9" i="1"/>
  <c r="C7" i="1"/>
  <c r="C8" i="1"/>
  <c r="C9" i="1"/>
  <c r="C11" i="1"/>
  <c r="E12" i="1"/>
  <c r="E13" i="1"/>
  <c r="E11" i="1"/>
  <c r="D12" i="1"/>
  <c r="D13" i="1"/>
  <c r="D11" i="1"/>
  <c r="E7" i="1"/>
  <c r="E8" i="1"/>
  <c r="E9" i="1"/>
  <c r="C24" i="1"/>
  <c r="C23" i="1"/>
  <c r="C22" i="1"/>
  <c r="C21" i="1"/>
  <c r="C15" i="1"/>
  <c r="K18" i="1" l="1"/>
  <c r="K21" i="1"/>
  <c r="K22" i="1"/>
  <c r="J23" i="1"/>
  <c r="K17" i="1"/>
  <c r="C5" i="1"/>
  <c r="J13" i="1"/>
  <c r="J22" i="1"/>
  <c r="S9" i="1"/>
  <c r="S18" i="1"/>
  <c r="J18" i="1"/>
  <c r="J21" i="1"/>
  <c r="K9" i="1"/>
  <c r="S17" i="1"/>
  <c r="S8" i="1"/>
  <c r="S21" i="1"/>
  <c r="S22" i="1"/>
  <c r="J17" i="1"/>
  <c r="S23" i="1"/>
  <c r="J8" i="1"/>
  <c r="S13" i="1"/>
  <c r="J9" i="1"/>
  <c r="K8" i="1"/>
  <c r="K13" i="1"/>
  <c r="K23" i="1"/>
  <c r="F11" i="1"/>
  <c r="F8" i="1"/>
  <c r="F9" i="1"/>
  <c r="F7" i="1"/>
  <c r="F12" i="1"/>
  <c r="F13" i="1"/>
  <c r="F6" i="1"/>
  <c r="O19" i="4" l="1"/>
  <c r="P24" i="1" s="1"/>
  <c r="S24" i="1" s="1"/>
  <c r="J19" i="4"/>
  <c r="I24" i="1" s="1"/>
  <c r="I19" i="4"/>
  <c r="H24" i="1" s="1"/>
  <c r="O18" i="4"/>
  <c r="P16" i="1" s="1"/>
  <c r="S16" i="1" s="1"/>
  <c r="J18" i="4"/>
  <c r="I16" i="1" s="1"/>
  <c r="I18" i="4"/>
  <c r="H16" i="1" s="1"/>
  <c r="O8" i="4"/>
  <c r="O9" i="4"/>
  <c r="O10" i="4"/>
  <c r="O11" i="4"/>
  <c r="O12" i="4"/>
  <c r="O13" i="4"/>
  <c r="O14" i="4"/>
  <c r="O15" i="4"/>
  <c r="P19" i="1" s="1"/>
  <c r="S19" i="1" s="1"/>
  <c r="O16" i="4"/>
  <c r="O17" i="4"/>
  <c r="O7" i="4"/>
  <c r="O6" i="4"/>
  <c r="O5" i="4"/>
  <c r="P6" i="1" s="1"/>
  <c r="S6" i="1" s="1"/>
  <c r="O4" i="4"/>
  <c r="P7" i="1" s="1"/>
  <c r="S7" i="1" s="1"/>
  <c r="J17" i="4"/>
  <c r="I17" i="4"/>
  <c r="I16" i="4"/>
  <c r="I15" i="4"/>
  <c r="I14" i="4"/>
  <c r="I13" i="4"/>
  <c r="H11" i="1" s="1"/>
  <c r="I12" i="4"/>
  <c r="I11" i="4"/>
  <c r="I10" i="4"/>
  <c r="R10" i="4" s="1"/>
  <c r="I9" i="4"/>
  <c r="I8" i="4"/>
  <c r="I7" i="4"/>
  <c r="I5" i="4"/>
  <c r="H6" i="1" s="1"/>
  <c r="I4" i="4"/>
  <c r="H7" i="1" s="1"/>
  <c r="I6" i="4"/>
  <c r="J4" i="4"/>
  <c r="I7" i="1" s="1"/>
  <c r="J5" i="4"/>
  <c r="J6" i="4"/>
  <c r="J7" i="4"/>
  <c r="J8" i="4"/>
  <c r="J9" i="4"/>
  <c r="J10" i="4"/>
  <c r="J11" i="4"/>
  <c r="J12" i="4"/>
  <c r="J13" i="4"/>
  <c r="I11" i="1" s="1"/>
  <c r="J14" i="4"/>
  <c r="J15" i="4"/>
  <c r="J16" i="4"/>
  <c r="U7" i="1"/>
  <c r="Y7" i="1" s="1"/>
  <c r="U8" i="1"/>
  <c r="Y8" i="1" s="1"/>
  <c r="U9" i="1"/>
  <c r="U6" i="1"/>
  <c r="Y6" i="1" s="1"/>
  <c r="U24" i="1"/>
  <c r="Y24" i="1" s="1"/>
  <c r="E24" i="1"/>
  <c r="D24" i="1"/>
  <c r="U23" i="1"/>
  <c r="Y23" i="1" s="1"/>
  <c r="E23" i="1"/>
  <c r="D23" i="1"/>
  <c r="U22" i="1"/>
  <c r="Y22" i="1" s="1"/>
  <c r="E22" i="1"/>
  <c r="D22" i="1"/>
  <c r="E21" i="1"/>
  <c r="D21" i="1"/>
  <c r="U19" i="1"/>
  <c r="Y19" i="1" s="1"/>
  <c r="U18" i="1"/>
  <c r="Y18" i="1" s="1"/>
  <c r="U17" i="1"/>
  <c r="Y17" i="1" s="1"/>
  <c r="U16" i="1"/>
  <c r="Y16" i="1" s="1"/>
  <c r="U13" i="1"/>
  <c r="Y13" i="1" s="1"/>
  <c r="U12" i="1"/>
  <c r="Y12" i="1" s="1"/>
  <c r="U11" i="1"/>
  <c r="Y11" i="1" s="1"/>
  <c r="V5" i="1"/>
  <c r="U19" i="4"/>
  <c r="U18" i="4"/>
  <c r="U17" i="4"/>
  <c r="U16" i="4"/>
  <c r="U15" i="4"/>
  <c r="U14" i="4"/>
  <c r="U13" i="4"/>
  <c r="U12" i="4"/>
  <c r="U10" i="4"/>
  <c r="U8" i="4"/>
  <c r="U11" i="4"/>
  <c r="U9" i="4"/>
  <c r="U7" i="4"/>
  <c r="U6" i="4"/>
  <c r="U5" i="4"/>
  <c r="U4" i="4"/>
  <c r="V20" i="1"/>
  <c r="V15" i="1"/>
  <c r="V10" i="1"/>
  <c r="B4" i="1"/>
  <c r="C4" i="1" s="1"/>
  <c r="U25" i="4" l="1"/>
  <c r="R7" i="4"/>
  <c r="I25" i="4"/>
  <c r="R6" i="4"/>
  <c r="O25" i="4"/>
  <c r="W14" i="1"/>
  <c r="W10" i="1" s="1"/>
  <c r="C14" i="1"/>
  <c r="C10" i="1" s="1"/>
  <c r="J25" i="4"/>
  <c r="R14" i="4"/>
  <c r="R12" i="4"/>
  <c r="R11" i="4"/>
  <c r="K11" i="1"/>
  <c r="J11" i="1"/>
  <c r="K16" i="1"/>
  <c r="J16" i="1"/>
  <c r="K7" i="1"/>
  <c r="J7" i="1"/>
  <c r="J24" i="1"/>
  <c r="K24" i="1"/>
  <c r="K20" i="1" s="1"/>
  <c r="R18" i="4"/>
  <c r="R5" i="4"/>
  <c r="M25" i="7" s="1"/>
  <c r="W25" i="7" s="1"/>
  <c r="I6" i="1"/>
  <c r="K6" i="1" s="1"/>
  <c r="P11" i="1"/>
  <c r="I12" i="1"/>
  <c r="H19" i="1"/>
  <c r="I19" i="1"/>
  <c r="I15" i="1" s="1"/>
  <c r="H12" i="1"/>
  <c r="P12" i="1"/>
  <c r="S12" i="1" s="1"/>
  <c r="F21" i="1"/>
  <c r="F24" i="1"/>
  <c r="V25" i="1"/>
  <c r="F23" i="1"/>
  <c r="X14" i="1"/>
  <c r="R14" i="1"/>
  <c r="R10" i="1" s="1"/>
  <c r="N14" i="1"/>
  <c r="N10" i="1" s="1"/>
  <c r="L14" i="1"/>
  <c r="G14" i="1"/>
  <c r="Q14" i="1"/>
  <c r="U14" i="1" s="1"/>
  <c r="U10" i="1" s="1"/>
  <c r="M14" i="1"/>
  <c r="M10" i="1" s="1"/>
  <c r="I14" i="1"/>
  <c r="H14" i="1"/>
  <c r="D14" i="1"/>
  <c r="D10" i="1" s="1"/>
  <c r="P14" i="1"/>
  <c r="E14" i="1"/>
  <c r="E10" i="1" s="1"/>
  <c r="F22" i="1"/>
  <c r="R15" i="4"/>
  <c r="R8" i="4"/>
  <c r="R16" i="4"/>
  <c r="R9" i="4"/>
  <c r="R17" i="4"/>
  <c r="R19" i="4"/>
  <c r="R4" i="4"/>
  <c r="R13" i="4"/>
  <c r="M20" i="1"/>
  <c r="W20" i="1"/>
  <c r="H20" i="1"/>
  <c r="D15" i="1"/>
  <c r="E15" i="1"/>
  <c r="I20" i="1"/>
  <c r="X20" i="1"/>
  <c r="O15" i="1"/>
  <c r="O10" i="1"/>
  <c r="R15" i="1"/>
  <c r="N20" i="1"/>
  <c r="O20" i="1"/>
  <c r="E20" i="1"/>
  <c r="T17" i="1"/>
  <c r="Z17" i="1" s="1"/>
  <c r="C20" i="1"/>
  <c r="T21" i="1"/>
  <c r="W15" i="1"/>
  <c r="N15" i="1"/>
  <c r="T13" i="1"/>
  <c r="Z13" i="1" s="1"/>
  <c r="G20" i="1"/>
  <c r="Q20" i="1"/>
  <c r="R20" i="1"/>
  <c r="Y9" i="1"/>
  <c r="T18" i="1"/>
  <c r="Z18" i="1" s="1"/>
  <c r="D20" i="1"/>
  <c r="G15" i="1"/>
  <c r="Q15" i="1"/>
  <c r="P15" i="1"/>
  <c r="T23" i="1"/>
  <c r="Z23" i="1" s="1"/>
  <c r="T22" i="1"/>
  <c r="Z22" i="1" s="1"/>
  <c r="X15" i="1"/>
  <c r="L20" i="1"/>
  <c r="U21" i="1"/>
  <c r="Y21" i="1" s="1"/>
  <c r="M15" i="1"/>
  <c r="L15" i="1"/>
  <c r="X5" i="1"/>
  <c r="W5" i="1"/>
  <c r="E5" i="1"/>
  <c r="M5" i="1"/>
  <c r="N5" i="1"/>
  <c r="R5" i="1"/>
  <c r="P5" i="1"/>
  <c r="O5" i="1"/>
  <c r="L5" i="1"/>
  <c r="H5" i="1"/>
  <c r="G5" i="1"/>
  <c r="D5" i="1"/>
  <c r="Q5" i="1"/>
  <c r="D4" i="1"/>
  <c r="E4" i="1" s="1"/>
  <c r="F4" i="1" s="1"/>
  <c r="G4" i="1" s="1"/>
  <c r="H4" i="1" s="1"/>
  <c r="I4" i="1" s="1"/>
  <c r="J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U15" i="1"/>
  <c r="U5" i="1"/>
  <c r="M26" i="7" l="1"/>
  <c r="M29" i="7" s="1"/>
  <c r="M17" i="7"/>
  <c r="M19" i="7" s="1"/>
  <c r="K14" i="1"/>
  <c r="K5" i="1"/>
  <c r="C25" i="1"/>
  <c r="R25" i="4"/>
  <c r="R25" i="1"/>
  <c r="L27" i="8" s="1"/>
  <c r="J6" i="1"/>
  <c r="T6" i="1" s="1"/>
  <c r="Z6" i="1" s="1"/>
  <c r="S5" i="1"/>
  <c r="J19" i="1"/>
  <c r="J14" i="1"/>
  <c r="S11" i="1"/>
  <c r="T11" i="1" s="1"/>
  <c r="Z11" i="1" s="1"/>
  <c r="S15" i="1"/>
  <c r="J20" i="1"/>
  <c r="L10" i="1"/>
  <c r="S14" i="1"/>
  <c r="K12" i="1"/>
  <c r="J12" i="1"/>
  <c r="T12" i="1" s="1"/>
  <c r="Z12" i="1" s="1"/>
  <c r="I5" i="1"/>
  <c r="J5" i="1" s="1"/>
  <c r="H15" i="1"/>
  <c r="J15" i="1" s="1"/>
  <c r="K19" i="1"/>
  <c r="K15" i="1" s="1"/>
  <c r="P10" i="1"/>
  <c r="T16" i="1"/>
  <c r="Z16" i="1" s="1"/>
  <c r="H10" i="1"/>
  <c r="T24" i="1"/>
  <c r="Z24" i="1" s="1"/>
  <c r="I10" i="1"/>
  <c r="F14" i="1"/>
  <c r="F10" i="1" s="1"/>
  <c r="G10" i="1"/>
  <c r="Y14" i="1"/>
  <c r="Y15" i="1"/>
  <c r="Y5" i="1"/>
  <c r="X10" i="1"/>
  <c r="Y10" i="1" s="1"/>
  <c r="Q10" i="1"/>
  <c r="Q25" i="1" s="1"/>
  <c r="W25" i="1"/>
  <c r="R9" i="8" s="1"/>
  <c r="N25" i="1"/>
  <c r="M25" i="1"/>
  <c r="L24" i="8" s="1"/>
  <c r="O25" i="1"/>
  <c r="E25" i="1"/>
  <c r="D25" i="1"/>
  <c r="P20" i="1"/>
  <c r="U20" i="1"/>
  <c r="U25" i="1" s="1"/>
  <c r="F15" i="1"/>
  <c r="T7" i="1"/>
  <c r="Z7" i="1" s="1"/>
  <c r="T8" i="1"/>
  <c r="Z8" i="1" s="1"/>
  <c r="F20" i="1"/>
  <c r="Z21" i="1"/>
  <c r="T9" i="1"/>
  <c r="Z9" i="1" s="1"/>
  <c r="F5" i="1"/>
  <c r="M30" i="7" l="1"/>
  <c r="W26" i="7"/>
  <c r="W29" i="7" s="1"/>
  <c r="K10" i="1"/>
  <c r="K25" i="1" s="1"/>
  <c r="L21" i="8" s="1"/>
  <c r="P25" i="1"/>
  <c r="L25" i="8" s="1"/>
  <c r="L26" i="8"/>
  <c r="R12" i="8"/>
  <c r="S10" i="1"/>
  <c r="S20" i="1"/>
  <c r="T20" i="1" s="1"/>
  <c r="I25" i="1"/>
  <c r="L25" i="1"/>
  <c r="L22" i="8" s="1"/>
  <c r="G25" i="1"/>
  <c r="L20" i="8" s="1"/>
  <c r="J10" i="1"/>
  <c r="J25" i="1" s="1"/>
  <c r="H25" i="1"/>
  <c r="T19" i="1"/>
  <c r="Z19" i="1" s="1"/>
  <c r="T14" i="1"/>
  <c r="Z14" i="1" s="1"/>
  <c r="Y20" i="1"/>
  <c r="X25" i="1"/>
  <c r="R10" i="8" s="1"/>
  <c r="T15" i="1"/>
  <c r="Z15" i="1" s="1"/>
  <c r="T5" i="1"/>
  <c r="Z5" i="1" s="1"/>
  <c r="F25" i="1"/>
  <c r="B30" i="9" a="1"/>
  <c r="R17" i="8" l="1"/>
  <c r="L30" i="8"/>
  <c r="E29" i="9" s="1"/>
  <c r="T10" i="1"/>
  <c r="Z10" i="1" s="1"/>
  <c r="B30" i="9"/>
  <c r="Z20" i="1"/>
  <c r="S25" i="1"/>
  <c r="Y25" i="1"/>
  <c r="P26" i="8" a="1"/>
  <c r="T25" i="8" l="1"/>
  <c r="T25" i="1"/>
  <c r="Z25" i="1"/>
  <c r="P26" i="8"/>
  <c r="F17" i="7" l="1"/>
  <c r="F19" i="7" s="1"/>
  <c r="F30" i="7" s="1"/>
  <c r="E17" i="7"/>
  <c r="E19" i="7" s="1"/>
  <c r="E30" i="7" s="1"/>
  <c r="D17" i="7"/>
  <c r="G17" i="7" l="1"/>
  <c r="D19" i="7"/>
  <c r="G19" i="7" l="1"/>
  <c r="G30" i="7" s="1"/>
  <c r="D30" i="7"/>
  <c r="C16" i="12" l="1"/>
  <c r="H17" i="12"/>
  <c r="H16" i="12" s="1"/>
  <c r="H17" i="7" l="1"/>
  <c r="H19" i="7" l="1"/>
  <c r="H30" i="7" s="1"/>
  <c r="W17" i="7"/>
  <c r="W19" i="7" s="1"/>
  <c r="W30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<sst xmlns="http://schemas.openxmlformats.org/spreadsheetml/2006/main" count="509" uniqueCount="342">
  <si>
    <t>UNIT KERJA</t>
  </si>
  <si>
    <t>GOL</t>
  </si>
  <si>
    <t>PEGAWAI</t>
  </si>
  <si>
    <t>S / I</t>
  </si>
  <si>
    <t>T. ANAK</t>
  </si>
  <si>
    <t>GAJI POKOK</t>
  </si>
  <si>
    <t>SUAMI/ISTRI</t>
  </si>
  <si>
    <t>PEMBULATAN</t>
  </si>
  <si>
    <t>I W P 1 %</t>
  </si>
  <si>
    <t>I W P 8 %</t>
  </si>
  <si>
    <t>BERAS</t>
  </si>
  <si>
    <t>PAJAK</t>
  </si>
  <si>
    <t>POTONGAN</t>
  </si>
  <si>
    <t>I</t>
  </si>
  <si>
    <t>I I</t>
  </si>
  <si>
    <t>IV</t>
  </si>
  <si>
    <t>JML</t>
  </si>
  <si>
    <t>II/B</t>
  </si>
  <si>
    <t>II/C</t>
  </si>
  <si>
    <t>II/D</t>
  </si>
  <si>
    <t>I/A</t>
  </si>
  <si>
    <t>I/B</t>
  </si>
  <si>
    <t>I/C</t>
  </si>
  <si>
    <t>I/D</t>
  </si>
  <si>
    <t>III</t>
  </si>
  <si>
    <t>III/A</t>
  </si>
  <si>
    <t>III/B</t>
  </si>
  <si>
    <t>III/C</t>
  </si>
  <si>
    <t>III/D</t>
  </si>
  <si>
    <t>IV/A</t>
  </si>
  <si>
    <t>IV/B</t>
  </si>
  <si>
    <t>IV/C</t>
  </si>
  <si>
    <t>IV/D</t>
  </si>
  <si>
    <t>II/A</t>
  </si>
  <si>
    <t>KEC WATUMALANG</t>
  </si>
  <si>
    <t>TUNJANGAN</t>
  </si>
  <si>
    <t>ESELON</t>
  </si>
  <si>
    <t>FUNGSIONAL</t>
  </si>
  <si>
    <t>KHUSUS</t>
  </si>
  <si>
    <t>PENGHASILAN</t>
  </si>
  <si>
    <t>BPJSKES</t>
  </si>
  <si>
    <t>JML
(22 s/d 25)</t>
  </si>
  <si>
    <t>ANAK</t>
  </si>
  <si>
    <t>F. UMUM</t>
  </si>
  <si>
    <t>JML
(12 s/d 18)</t>
  </si>
  <si>
    <t>JML 
(11 + 19)</t>
  </si>
  <si>
    <t>JML
(7 s/d 9)</t>
  </si>
  <si>
    <t>PER GOLONGAN DAN JABATAN</t>
  </si>
  <si>
    <t>KANTOR : KECAMATAN WATUMALANG</t>
  </si>
  <si>
    <t>GOLONGAN</t>
  </si>
  <si>
    <t>TOTAL</t>
  </si>
  <si>
    <t>II</t>
  </si>
  <si>
    <t>Jumlah Golongan IV</t>
  </si>
  <si>
    <t>Jumlah Golongan III</t>
  </si>
  <si>
    <t>Jumlah Golongan II</t>
  </si>
  <si>
    <t>Jumlah Golongan I</t>
  </si>
  <si>
    <t>Jumlah I s/d IV</t>
  </si>
  <si>
    <t>Pembantu Bendahara Pengeluaran</t>
  </si>
  <si>
    <t>Untuk Urusan Gaji</t>
  </si>
  <si>
    <t>No</t>
  </si>
  <si>
    <t>Nama</t>
  </si>
  <si>
    <t>Golongan</t>
  </si>
  <si>
    <t>Peg.</t>
  </si>
  <si>
    <t>Anak</t>
  </si>
  <si>
    <t>Istri</t>
  </si>
  <si>
    <t>Tunj. Eselon</t>
  </si>
  <si>
    <t>Tunj. Umum</t>
  </si>
  <si>
    <t>Tunj. Beras</t>
  </si>
  <si>
    <t>Tunj. Pajak</t>
  </si>
  <si>
    <t>IWP 1%</t>
  </si>
  <si>
    <t>IWP 8%</t>
  </si>
  <si>
    <t>gaji pokok</t>
  </si>
  <si>
    <t>tunj. Istri</t>
  </si>
  <si>
    <t>tunj. Anak</t>
  </si>
  <si>
    <t>pembulatan</t>
  </si>
  <si>
    <t>JML Kotor</t>
  </si>
  <si>
    <t>JML Pot.</t>
  </si>
  <si>
    <t>fungsional</t>
  </si>
  <si>
    <t>khusus</t>
  </si>
  <si>
    <t>SOLEH</t>
  </si>
  <si>
    <t>JML. BERSIH
(21 + 26)</t>
  </si>
  <si>
    <t>DAFTAR ISIAN JUMLAH PEGAWAI</t>
  </si>
  <si>
    <t>E S E L O N</t>
  </si>
  <si>
    <t>Bendahara Pengeluaran</t>
  </si>
  <si>
    <t>DEWI ASMARANI H., A.Md</t>
  </si>
  <si>
    <t>NIP. 19930702 202012 2 010</t>
  </si>
  <si>
    <t>DAFTAR PERBEDAAN JUMLAH PEGAWAI DAN PEMBAYARAN</t>
  </si>
  <si>
    <t>GAJI BULAN</t>
  </si>
  <si>
    <t>BADAN / DINAS KANTOR</t>
  </si>
  <si>
    <t>: KECAMATAN WATUMALANG</t>
  </si>
  <si>
    <t>KODE REKENING</t>
  </si>
  <si>
    <t>: 2.01.13.1.1.03.2</t>
  </si>
  <si>
    <t>Golongan/</t>
  </si>
  <si>
    <t>I. Bulan : (diisi bulan lalu)</t>
  </si>
  <si>
    <t>II. Bulan : (diisi bulan berkenaan)</t>
  </si>
  <si>
    <t>III. PERBEDAAN</t>
  </si>
  <si>
    <t>Ruang</t>
  </si>
  <si>
    <t>PEG.</t>
  </si>
  <si>
    <t>ISTRI</t>
  </si>
  <si>
    <t>JIWA</t>
  </si>
  <si>
    <t>JML. KOTOR</t>
  </si>
  <si>
    <t>JUMLAH KOTOR</t>
  </si>
  <si>
    <t>TAMBAH</t>
  </si>
  <si>
    <t>KURANG</t>
  </si>
  <si>
    <t>Gol. I/a</t>
  </si>
  <si>
    <t>Gol. I/b</t>
  </si>
  <si>
    <t>Gol. I/c</t>
  </si>
  <si>
    <t>Gol. I/d</t>
  </si>
  <si>
    <t>Jumlah Gol I</t>
  </si>
  <si>
    <t>Gol. II/a</t>
  </si>
  <si>
    <t>Gol. II/b</t>
  </si>
  <si>
    <t>Gol. II/c</t>
  </si>
  <si>
    <t>Gol. II/d</t>
  </si>
  <si>
    <t>Jumlah Gol II</t>
  </si>
  <si>
    <t>Gol. III/a</t>
  </si>
  <si>
    <t>Gol. III/b</t>
  </si>
  <si>
    <t>Gol. III/c</t>
  </si>
  <si>
    <t>Gol. III/d</t>
  </si>
  <si>
    <t>Jumlah Gol III</t>
  </si>
  <si>
    <t>Gol. IV/a</t>
  </si>
  <si>
    <t>Gol. IV/b</t>
  </si>
  <si>
    <t>Gol. IV/c</t>
  </si>
  <si>
    <t>Gol. IV/d</t>
  </si>
  <si>
    <t>Jumlah Gol IV</t>
  </si>
  <si>
    <t>JUMLAH</t>
  </si>
  <si>
    <t>SPM  ini  sah  apabila  telah  di tandatangani  dan  distempel  oleh  kepala  SKPD</t>
  </si>
  <si>
    <t>NIP.  196703231986081001</t>
  </si>
  <si>
    <t>AMIR MA'RUF, SE</t>
  </si>
  <si>
    <t xml:space="preserve"> </t>
  </si>
  <si>
    <t xml:space="preserve">  CAMAT WATUMALANG</t>
  </si>
  <si>
    <t>912/002/2024 tgl 22 Februari 2024</t>
  </si>
  <si>
    <t>:</t>
  </si>
  <si>
    <t xml:space="preserve">  Nomor  dan  Tanggal  SPP</t>
  </si>
  <si>
    <t>Rp.</t>
  </si>
  <si>
    <t xml:space="preserve">  Jumlah  SPP  yang  diminta</t>
  </si>
  <si>
    <t>Pembulatan Gaji</t>
  </si>
  <si>
    <t>1.20.1.20.13.00.00.5.1.1.01.08.</t>
  </si>
  <si>
    <t xml:space="preserve"> Uang  sejumlah :</t>
  </si>
  <si>
    <t>Tunjangan  PPh</t>
  </si>
  <si>
    <t>1.20.1.20.13.00.00.5.1.1.01.07.</t>
  </si>
  <si>
    <t>. . . . . . . . . . . . . . . . . . . . . . . . . . . . . . . . . . . . .</t>
  </si>
  <si>
    <t>Jumlah  yang  dibayarkan</t>
  </si>
  <si>
    <t>Tunjangan  Beras</t>
  </si>
  <si>
    <t>1.20.1.20.13.00.00.5.1.1.01.06.</t>
  </si>
  <si>
    <t xml:space="preserve"> Jumlah</t>
  </si>
  <si>
    <t>Tunjangan   Umum</t>
  </si>
  <si>
    <t>1.20.1.20.13.00.00.5.1.1.01.05.</t>
  </si>
  <si>
    <t>Tunjangan  Fungsional</t>
  </si>
  <si>
    <t xml:space="preserve"> P P H</t>
  </si>
  <si>
    <t>Tunjangan  Jabatan</t>
  </si>
  <si>
    <t>1.20.1.20.13.00.00.5.1.1.01.03.</t>
  </si>
  <si>
    <t xml:space="preserve"> P P N</t>
  </si>
  <si>
    <t>Tunjangan  Keluarga</t>
  </si>
  <si>
    <t>1.20.1.20.13.00.00.5.1.1.01.02.</t>
  </si>
  <si>
    <t>Keterangan</t>
  </si>
  <si>
    <t>Jumlah</t>
  </si>
  <si>
    <t>Uraian ( No. Rekening )</t>
  </si>
  <si>
    <t>No.</t>
  </si>
  <si>
    <t>Gaji Pokok</t>
  </si>
  <si>
    <t>1.20.1.20.13.00.00.5.1.1.01.01.</t>
  </si>
  <si>
    <t xml:space="preserve">  Pembebanan  pada Kode Rekening :</t>
  </si>
  <si>
    <t xml:space="preserve">  Informasi :  (Tidak mengurangi jumlah pembayaran SPM )</t>
  </si>
  <si>
    <t>Belanja  Langsung</t>
  </si>
  <si>
    <t>2.</t>
  </si>
  <si>
    <t xml:space="preserve"> Jumlah Potongan</t>
  </si>
  <si>
    <t>Belanja  Tidak  Langsung</t>
  </si>
  <si>
    <t>1.</t>
  </si>
  <si>
    <t>02/4.019.1/SPD/2024  TGL.  22 Februari 2024</t>
  </si>
  <si>
    <t>Dasar Pembayaran No. Tanggal  SPD</t>
  </si>
  <si>
    <t xml:space="preserve"> Lain - lain</t>
  </si>
  <si>
    <t xml:space="preserve">  N P W P</t>
  </si>
  <si>
    <t xml:space="preserve"> PPH Pasal 21</t>
  </si>
  <si>
    <t xml:space="preserve"> Tabungan Perumahan</t>
  </si>
  <si>
    <t xml:space="preserve">  No. Rekening Bank / Khusus Gaji</t>
  </si>
  <si>
    <t xml:space="preserve"> Iuran Wajib Pegawai 8 %</t>
  </si>
  <si>
    <t xml:space="preserve"> Iuran Wajib Pegawai 1 %</t>
  </si>
  <si>
    <t xml:space="preserve">  Bendahara  Pengeluaran</t>
  </si>
  <si>
    <t>KECAMATAN  WATUMALANG</t>
  </si>
  <si>
    <t xml:space="preserve">  S K P D </t>
  </si>
  <si>
    <t xml:space="preserve">  Supaya menerbitkan  SP2D kepada</t>
  </si>
  <si>
    <t xml:space="preserve">  Potongan - Potongan :</t>
  </si>
  <si>
    <t xml:space="preserve">  KUASA  BENDAHARAWAN  UMUM  DAERAH  KABUPATEN  WONOSOBO</t>
  </si>
  <si>
    <t>Nomor SPM : SPM-02/Ls/G/7.01.0.00.0.00.05/2024</t>
  </si>
  <si>
    <t>TAHUN  ANGGARAN  2025</t>
  </si>
  <si>
    <t>SURAT   PERINTAH   MEMBAYAR</t>
  </si>
  <si>
    <t>K A B U P A T E N    W O N O S O B O</t>
  </si>
  <si>
    <t xml:space="preserve">     </t>
  </si>
  <si>
    <t>Keluarga</t>
  </si>
  <si>
    <r>
      <t>Pembayaran  Belanja  Pegawai    ( Gaji Bulan Maret</t>
    </r>
    <r>
      <rPr>
        <b/>
        <sz val="11"/>
        <color indexed="8"/>
        <rFont val="Arial"/>
        <family val="2"/>
      </rPr>
      <t>2024</t>
    </r>
    <r>
      <rPr>
        <sz val="11"/>
        <color indexed="8"/>
        <rFont val="Arial"/>
        <family val="2"/>
      </rPr>
      <t xml:space="preserve"> )</t>
    </r>
  </si>
  <si>
    <t>NIP. 19710815 201212 1 001</t>
  </si>
  <si>
    <t>Untuk Urusan Gaji,</t>
  </si>
  <si>
    <t>Bendahara Pengeluaran,</t>
  </si>
  <si>
    <t>: BANK JATENG</t>
  </si>
  <si>
    <t>Nama dan nomor rekening Bank</t>
  </si>
  <si>
    <t>i.</t>
  </si>
  <si>
    <t>Jumlah Pembayaran yang diminta</t>
  </si>
  <si>
    <t>h.</t>
  </si>
  <si>
    <t>Pengeluaran Untuk Urusan Gaji</t>
  </si>
  <si>
    <t>`</t>
  </si>
  <si>
    <t>Nama Pembantu Bendahara</t>
  </si>
  <si>
    <t>g.</t>
  </si>
  <si>
    <t>Untuk Keperluan Bulan</t>
  </si>
  <si>
    <t>f.</t>
  </si>
  <si>
    <t>Jumlah Sisa Dana SPD</t>
  </si>
  <si>
    <t>e.</t>
  </si>
  <si>
    <t xml:space="preserve">: </t>
  </si>
  <si>
    <t>Dasar Pengeluaran SPD Nomor</t>
  </si>
  <si>
    <t>d.</t>
  </si>
  <si>
    <t>:   2025</t>
  </si>
  <si>
    <t>Tahun Anggaran</t>
  </si>
  <si>
    <t>c.</t>
  </si>
  <si>
    <t>:   4.01.09.01 Kecamatan Watumalang</t>
  </si>
  <si>
    <t>SKPD</t>
  </si>
  <si>
    <t>b.</t>
  </si>
  <si>
    <t>:   4.01  (Urusan Pemerintahan Fungsi Penunjang Administrasi Pemerintahan)</t>
  </si>
  <si>
    <t>Urusan Pemerintahan</t>
  </si>
  <si>
    <t>a.</t>
  </si>
  <si>
    <t>Dengan memperhatikan Peraturan Bupati Wonosobo No. 40 Tahun 2017,  tentang penjabaran APBD, Bersama ini kami mengajukan Surat Permintaan Pembayaran langsung gaji Sebagai berikut  :</t>
  </si>
  <si>
    <t>WATUMALANG</t>
  </si>
  <si>
    <t>Di -</t>
  </si>
  <si>
    <t>Kecamatan Watumalang</t>
  </si>
  <si>
    <t>Pengguna Anggaran</t>
  </si>
  <si>
    <t>Kepada Yth.</t>
  </si>
  <si>
    <t>SURAT PENGANTAR</t>
  </si>
  <si>
    <t>SPP1</t>
  </si>
  <si>
    <t xml:space="preserve">                                                Nomor :  </t>
  </si>
  <si>
    <t>(SPP-LS-GAJI-TUNJANGAN)</t>
  </si>
  <si>
    <t>SURAT PERMINTAAN PEMBAYARAN LANGSUNG GAJI DAN TUNJANGAN</t>
  </si>
  <si>
    <t>KECAMATAN WATUMALANG</t>
  </si>
  <si>
    <t>PEMERINTAH DAERAH KABUPATEN WONOSOBO</t>
  </si>
  <si>
    <t>Watumalang, 05 Nopember 2009</t>
  </si>
  <si>
    <t>Rp</t>
  </si>
  <si>
    <t>Sisa SPD yang telah diterbitkan, belum dibelanjakan ( II - III )</t>
  </si>
  <si>
    <t>SP2D Peruntukan LS Pembayaran Gaji dan Tunjangan s/d Bln ini</t>
  </si>
  <si>
    <t>SP2D Peruntukan LS Pembayaran Gaji dan Tunjangan s/d Bln Lalu</t>
  </si>
  <si>
    <t>Belanja UP/ GU</t>
  </si>
  <si>
    <t>RINGKASAN BELANJA</t>
  </si>
  <si>
    <t>Sisa Dana yang belum di SPD-kan ( I - II )</t>
  </si>
  <si>
    <t xml:space="preserve">Jumlah </t>
  </si>
  <si>
    <t>7.</t>
  </si>
  <si>
    <t>6.</t>
  </si>
  <si>
    <t>5.</t>
  </si>
  <si>
    <t>4.</t>
  </si>
  <si>
    <t>55/4.019.1/SPD /2024</t>
  </si>
  <si>
    <t>3.</t>
  </si>
  <si>
    <t>54/4.019.1/SPD /2024</t>
  </si>
  <si>
    <t>53/4.019.1/SPD /2023</t>
  </si>
  <si>
    <t>Jumlah Dana</t>
  </si>
  <si>
    <t>Tanggal SPD</t>
  </si>
  <si>
    <t>Nomor SPD</t>
  </si>
  <si>
    <t>No. Urut</t>
  </si>
  <si>
    <t>RINGKASAN SPD</t>
  </si>
  <si>
    <t>JUMLAH DANA  DPA-SKPD/ DPPA-SKPD/ DPAL-SKPD</t>
  </si>
  <si>
    <t>RINGKASAN DPA-/ DPPA-/ DPAL-SKPD</t>
  </si>
  <si>
    <t>RINGKASAN</t>
  </si>
  <si>
    <t>SPP2</t>
  </si>
  <si>
    <t xml:space="preserve">(SPP-LS-GAJI-TUNJANGAN) </t>
  </si>
  <si>
    <t xml:space="preserve">  PEMERINTAH DAERAH KABUPATEN WONOSOBO         </t>
  </si>
  <si>
    <t xml:space="preserve">JUMLAH   </t>
  </si>
  <si>
    <t>Tunjangan PPh</t>
  </si>
  <si>
    <t>Tunjangan Beras</t>
  </si>
  <si>
    <t>Tunjangan Umum</t>
  </si>
  <si>
    <t>Tunjangan Fungsional</t>
  </si>
  <si>
    <t>Tunjangan Jabatan</t>
  </si>
  <si>
    <t>Tunjangan Keluarga</t>
  </si>
  <si>
    <t>(Rp)</t>
  </si>
  <si>
    <t>URAIAN</t>
  </si>
  <si>
    <t>MARET  2025</t>
  </si>
  <si>
    <t>BULAN :</t>
  </si>
  <si>
    <t>RENCANA PENGGUNAAN DANA</t>
  </si>
  <si>
    <t>R I N C I A N</t>
  </si>
  <si>
    <t>SPP3</t>
  </si>
  <si>
    <t>: SOLEH</t>
  </si>
  <si>
    <t xml:space="preserve">Pembantu Bendahara Pengeluaran </t>
  </si>
  <si>
    <t>JML. BERSIH</t>
  </si>
  <si>
    <t>VII</t>
  </si>
  <si>
    <t>JML. POTONGAN</t>
  </si>
  <si>
    <t>VI</t>
  </si>
  <si>
    <t>4. PPh PASAL 21</t>
  </si>
  <si>
    <t>3. TAPERUM</t>
  </si>
  <si>
    <t>2. IWP 8 %</t>
  </si>
  <si>
    <t>1. IWP 1 %</t>
  </si>
  <si>
    <t>JUMLAH (III+IV)</t>
  </si>
  <si>
    <t>V</t>
  </si>
  <si>
    <t>TUNJ. BERAS</t>
  </si>
  <si>
    <t>8. Pembulatan</t>
  </si>
  <si>
    <t>7. Tunj. Khusus</t>
  </si>
  <si>
    <t>6. Tunj. Fungsional</t>
  </si>
  <si>
    <t>5. Tunj. Jab. Struktural</t>
  </si>
  <si>
    <t>4. Tunjangan Umum</t>
  </si>
  <si>
    <t>3. Tunjangan Anak</t>
  </si>
  <si>
    <t>2. T. Istri/Suami</t>
  </si>
  <si>
    <t>1. Gaji Pokok</t>
  </si>
  <si>
    <t>JML. GAJI &amp; TUNJ.</t>
  </si>
  <si>
    <t>2. Fungsional</t>
  </si>
  <si>
    <t>1. Struktural</t>
  </si>
  <si>
    <t>JUMLAH ORANG</t>
  </si>
  <si>
    <t>3. Anak</t>
  </si>
  <si>
    <t>2. Istri/Suami</t>
  </si>
  <si>
    <t>1. Pegawai</t>
  </si>
  <si>
    <t>7(3+4+5+6)</t>
  </si>
  <si>
    <t>(I,II,III,IV)</t>
  </si>
  <si>
    <t>Jumlah Meninggal</t>
  </si>
  <si>
    <t>Jumlah SPM</t>
  </si>
  <si>
    <t>BULAN</t>
  </si>
  <si>
    <t>KAB./KOTA</t>
  </si>
  <si>
    <t>NPWP</t>
  </si>
  <si>
    <t>SATUAN KERJA</t>
  </si>
  <si>
    <t>PEMBAYARAN GAJI / GAJI SUSULAN / KEKURANGAN GAJI</t>
  </si>
  <si>
    <t>RINCIAN BELANJA DAN TUNJANGAN PEGAWAI</t>
  </si>
  <si>
    <t xml:space="preserve">DAFTAR      :    </t>
  </si>
  <si>
    <t>2.01.13.1.1.03.2</t>
  </si>
  <si>
    <t>-</t>
  </si>
  <si>
    <t>WONOSOBO</t>
  </si>
  <si>
    <t>HARDI AGUNADI A.Md</t>
  </si>
  <si>
    <t xml:space="preserve"> EKO HADININGSIH A.Md</t>
  </si>
  <si>
    <t>STAF</t>
  </si>
  <si>
    <t>VIII</t>
  </si>
  <si>
    <t>IX</t>
  </si>
  <si>
    <t>X</t>
  </si>
  <si>
    <t>XI</t>
  </si>
  <si>
    <t>XII</t>
  </si>
  <si>
    <t>XIII</t>
  </si>
  <si>
    <t>Gol. I</t>
  </si>
  <si>
    <t>Gol. 2</t>
  </si>
  <si>
    <t>Gol. 3</t>
  </si>
  <si>
    <t>Gol. 4</t>
  </si>
  <si>
    <t>Gol. 5</t>
  </si>
  <si>
    <t>Gol. 6</t>
  </si>
  <si>
    <t>Gol. 7</t>
  </si>
  <si>
    <t>Gol. 8</t>
  </si>
  <si>
    <t>Gol. 9</t>
  </si>
  <si>
    <t>Gol. 10</t>
  </si>
  <si>
    <t>Gol. 11</t>
  </si>
  <si>
    <t>Gol. 12</t>
  </si>
  <si>
    <t>Gol. 13</t>
  </si>
  <si>
    <t>Gol. 14</t>
  </si>
  <si>
    <t>Gol. 15</t>
  </si>
  <si>
    <t>Gol. 16</t>
  </si>
  <si>
    <t>Gol. 17</t>
  </si>
  <si>
    <t>MEI 2025</t>
  </si>
  <si>
    <t>Watumalang, 21 April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</si>
</sst>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_);_(* \(#,##0\);_(* &quot;-&quot;_);_(@_)"/>
    <numFmt numFmtId="165" formatCode="[$-421]dd\ mmmm\ yyyy;@"/>
    <numFmt numFmtId="166" formatCode="_(* #,##0.00_);_(* \(#,##0.00\);_(* &quot;-&quot;??_);_(@_)"/>
    <numFmt numFmtId="167" formatCode="_(* #,##0_);_(* \(#,##0\);_(* &quot;-&quot;??_);_(@_)"/>
    <numFmt numFmtId="168" formatCode="[$-F800]dddd\,\ mmmm\ dd\,\ yyyy"/>
    <numFmt numFmtId="169" formatCode="#,##0.00_ ;\-#,##0.00\ "/>
    <numFmt numFmtId="170" formatCode="_(&quot;Rp&quot;* #,##0.00_);_(&quot;Rp&quot;* \(#,##0.00\);_(&quot;Rp&quot;* &quot;-&quot;??_);_(@_)"/>
    <numFmt numFmtId="171" formatCode="_(* #,##0.00_);_(* \(#,##0.00\);_(* &quot;-&quot;_);_(@_)"/>
  </numFmts>
  <fonts count="50" x14ac:knownFonts="1">
    <font>
      <sz val="10"/>
      <name val="Arial"/>
    </font>
    <font>
      <b/>
      <sz val="10"/>
      <color indexed="10"/>
      <name val="Arial"/>
      <family val="2"/>
    </font>
    <font>
      <b/>
      <sz val="10"/>
      <color theme="2" tint="-0.89999084444715716"/>
      <name val="Arial"/>
      <family val="2"/>
    </font>
    <font>
      <b/>
      <sz val="8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theme="0"/>
      <name val="Arial"/>
      <family val="2"/>
    </font>
    <font>
      <b/>
      <sz val="14"/>
      <color indexed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sz val="10"/>
      <color rgb="FF00206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b/>
      <u/>
      <sz val="10"/>
      <name val="Times New Roman"/>
      <family val="1"/>
    </font>
    <font>
      <sz val="11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u/>
      <sz val="11"/>
      <name val="Arial"/>
      <family val="2"/>
    </font>
    <font>
      <sz val="10"/>
      <color indexed="10"/>
      <name val="Arial"/>
      <family val="2"/>
    </font>
    <font>
      <b/>
      <u/>
      <sz val="11"/>
      <color rgb="FF000000"/>
      <name val="Arial"/>
      <family val="2"/>
    </font>
    <font>
      <sz val="10"/>
      <color indexed="14"/>
      <name val="Arial"/>
      <family val="2"/>
    </font>
    <font>
      <sz val="10"/>
      <color indexed="12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14"/>
      <name val="Arial"/>
      <family val="2"/>
    </font>
    <font>
      <sz val="10"/>
      <color indexed="48"/>
      <name val="Arial"/>
      <family val="2"/>
    </font>
    <font>
      <sz val="11"/>
      <color indexed="10"/>
      <name val="Arial"/>
      <family val="2"/>
    </font>
    <font>
      <b/>
      <sz val="11"/>
      <color indexed="8"/>
      <name val="Arial"/>
      <family val="2"/>
    </font>
    <font>
      <b/>
      <sz val="11"/>
      <color indexed="9"/>
      <name val="Arial"/>
      <family val="2"/>
    </font>
    <font>
      <sz val="10"/>
      <color indexed="17"/>
      <name val="Arial"/>
      <family val="2"/>
    </font>
    <font>
      <sz val="11"/>
      <color indexed="8"/>
      <name val="Arial"/>
      <family val="2"/>
    </font>
    <font>
      <sz val="11"/>
      <color indexed="12"/>
      <name val="Arial"/>
      <family val="2"/>
    </font>
    <font>
      <b/>
      <i/>
      <sz val="10"/>
      <color indexed="10"/>
      <name val="Arial"/>
      <family val="2"/>
    </font>
    <font>
      <sz val="14"/>
      <name val="Arial"/>
      <family val="2"/>
    </font>
    <font>
      <b/>
      <sz val="12"/>
      <color indexed="12"/>
      <name val="Arial"/>
      <family val="2"/>
    </font>
    <font>
      <b/>
      <sz val="11"/>
      <color indexed="10"/>
      <name val="Arial"/>
      <family val="2"/>
    </font>
    <font>
      <i/>
      <sz val="10"/>
      <name val="Arial"/>
      <family val="2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8"/>
      <name val="Arial"/>
      <family val="2"/>
    </font>
    <font>
      <sz val="10"/>
      <color indexed="41"/>
      <name val="Arial"/>
      <family val="2"/>
    </font>
    <font>
      <sz val="10"/>
      <color indexed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</cellStyleXfs>
  <cellXfs count="50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/>
    <xf numFmtId="0" fontId="7" fillId="2" borderId="0" xfId="0" applyFont="1" applyFill="1"/>
    <xf numFmtId="164" fontId="7" fillId="0" borderId="1" xfId="2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164" fontId="10" fillId="0" borderId="6" xfId="2" applyFont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1" fillId="2" borderId="1" xfId="2" applyFont="1" applyFill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164" fontId="9" fillId="0" borderId="1" xfId="2" applyFont="1" applyBorder="1" applyAlignment="1">
      <alignment horizontal="left" vertical="center"/>
    </xf>
    <xf numFmtId="164" fontId="1" fillId="0" borderId="1" xfId="2" applyFont="1" applyBorder="1" applyAlignment="1">
      <alignment horizontal="left" vertical="center"/>
    </xf>
    <xf numFmtId="164" fontId="5" fillId="6" borderId="1" xfId="2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164" fontId="5" fillId="8" borderId="1" xfId="2" applyFont="1" applyFill="1" applyBorder="1" applyAlignment="1">
      <alignment horizontal="left" vertical="center"/>
    </xf>
    <xf numFmtId="164" fontId="5" fillId="10" borderId="1" xfId="2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164" fontId="9" fillId="11" borderId="1" xfId="2" applyFont="1" applyFill="1" applyBorder="1" applyAlignment="1">
      <alignment horizontal="left" vertical="center"/>
    </xf>
    <xf numFmtId="164" fontId="5" fillId="9" borderId="1" xfId="2" applyFont="1" applyFill="1" applyBorder="1" applyAlignment="1">
      <alignment horizontal="left" vertical="center"/>
    </xf>
    <xf numFmtId="0" fontId="17" fillId="0" borderId="1" xfId="0" applyFont="1" applyBorder="1"/>
    <xf numFmtId="167" fontId="17" fillId="0" borderId="1" xfId="1" applyNumberFormat="1" applyFont="1" applyBorder="1"/>
    <xf numFmtId="167" fontId="18" fillId="14" borderId="1" xfId="1" applyNumberFormat="1" applyFont="1" applyFill="1" applyBorder="1"/>
    <xf numFmtId="167" fontId="18" fillId="14" borderId="1" xfId="0" applyNumberFormat="1" applyFont="1" applyFill="1" applyBorder="1"/>
    <xf numFmtId="167" fontId="17" fillId="0" borderId="1" xfId="0" applyNumberFormat="1" applyFont="1" applyBorder="1"/>
    <xf numFmtId="0" fontId="19" fillId="0" borderId="1" xfId="0" applyFont="1" applyBorder="1"/>
    <xf numFmtId="0" fontId="9" fillId="0" borderId="0" xfId="0" applyFont="1"/>
    <xf numFmtId="0" fontId="19" fillId="0" borderId="1" xfId="0" applyFont="1" applyBorder="1" applyAlignment="1">
      <alignment horizontal="center" vertical="top"/>
    </xf>
    <xf numFmtId="164" fontId="7" fillId="2" borderId="0" xfId="0" applyNumberFormat="1" applyFont="1" applyFill="1"/>
    <xf numFmtId="166" fontId="7" fillId="2" borderId="0" xfId="1" applyFont="1" applyFill="1"/>
    <xf numFmtId="166" fontId="7" fillId="0" borderId="0" xfId="1" applyFont="1"/>
    <xf numFmtId="166" fontId="7" fillId="0" borderId="0" xfId="0" applyNumberFormat="1" applyFont="1"/>
    <xf numFmtId="166" fontId="0" fillId="0" borderId="0" xfId="1" applyFont="1"/>
    <xf numFmtId="167" fontId="20" fillId="0" borderId="0" xfId="1" applyNumberFormat="1" applyFont="1"/>
    <xf numFmtId="167" fontId="16" fillId="0" borderId="0" xfId="1" applyNumberFormat="1" applyFont="1"/>
    <xf numFmtId="167" fontId="0" fillId="0" borderId="0" xfId="1" applyNumberFormat="1" applyFont="1"/>
    <xf numFmtId="166" fontId="9" fillId="0" borderId="0" xfId="1" applyFont="1"/>
    <xf numFmtId="43" fontId="7" fillId="2" borderId="0" xfId="0" applyNumberFormat="1" applyFont="1" applyFill="1"/>
    <xf numFmtId="43" fontId="7" fillId="0" borderId="0" xfId="0" applyNumberFormat="1" applyFont="1"/>
    <xf numFmtId="0" fontId="15" fillId="0" borderId="0" xfId="3" applyFont="1"/>
    <xf numFmtId="0" fontId="7" fillId="0" borderId="0" xfId="3" applyAlignment="1">
      <alignment horizontal="center"/>
    </xf>
    <xf numFmtId="0" fontId="7" fillId="0" borderId="0" xfId="0" quotePrefix="1" applyFont="1"/>
    <xf numFmtId="0" fontId="8" fillId="0" borderId="0" xfId="3" applyFont="1"/>
    <xf numFmtId="0" fontId="8" fillId="0" borderId="0" xfId="3" applyFont="1" applyAlignment="1">
      <alignment horizontal="center"/>
    </xf>
    <xf numFmtId="0" fontId="19" fillId="0" borderId="0" xfId="3" applyFont="1"/>
    <xf numFmtId="0" fontId="7" fillId="0" borderId="0" xfId="3" applyFont="1"/>
    <xf numFmtId="0" fontId="17" fillId="0" borderId="0" xfId="3" applyFont="1"/>
    <xf numFmtId="0" fontId="19" fillId="0" borderId="0" xfId="3" applyFont="1" applyAlignment="1">
      <alignment vertical="center"/>
    </xf>
    <xf numFmtId="168" fontId="19" fillId="0" borderId="0" xfId="3" applyNumberFormat="1" applyFont="1" applyAlignment="1">
      <alignment vertical="center"/>
    </xf>
    <xf numFmtId="168" fontId="17" fillId="0" borderId="0" xfId="3" applyNumberFormat="1" applyFont="1"/>
    <xf numFmtId="0" fontId="19" fillId="0" borderId="15" xfId="3" applyFont="1" applyBorder="1" applyAlignment="1">
      <alignment vertical="center"/>
    </xf>
    <xf numFmtId="0" fontId="17" fillId="0" borderId="15" xfId="3" applyFont="1" applyBorder="1"/>
    <xf numFmtId="0" fontId="20" fillId="0" borderId="3" xfId="3" applyFont="1" applyBorder="1" applyAlignment="1">
      <alignment horizontal="center"/>
    </xf>
    <xf numFmtId="0" fontId="20" fillId="0" borderId="11" xfId="3" applyFont="1" applyBorder="1" applyAlignment="1">
      <alignment horizontal="center"/>
    </xf>
    <xf numFmtId="0" fontId="20" fillId="0" borderId="7" xfId="3" applyFont="1" applyBorder="1" applyAlignment="1">
      <alignment horizontal="center"/>
    </xf>
    <xf numFmtId="0" fontId="20" fillId="0" borderId="7" xfId="3" applyFont="1" applyBorder="1"/>
    <xf numFmtId="0" fontId="20" fillId="0" borderId="1" xfId="3" applyFont="1" applyBorder="1" applyAlignment="1">
      <alignment horizontal="center"/>
    </xf>
    <xf numFmtId="0" fontId="17" fillId="0" borderId="1" xfId="3" applyFont="1" applyBorder="1" applyAlignment="1">
      <alignment horizontal="center"/>
    </xf>
    <xf numFmtId="0" fontId="20" fillId="0" borderId="0" xfId="3" applyFont="1" applyAlignment="1">
      <alignment horizontal="right"/>
    </xf>
    <xf numFmtId="0" fontId="17" fillId="0" borderId="3" xfId="3" applyFont="1" applyBorder="1" applyAlignment="1">
      <alignment horizontal="center"/>
    </xf>
    <xf numFmtId="0" fontId="17" fillId="0" borderId="3" xfId="3" applyFont="1" applyBorder="1"/>
    <xf numFmtId="164" fontId="17" fillId="0" borderId="1" xfId="3" applyNumberFormat="1" applyFont="1" applyBorder="1"/>
    <xf numFmtId="0" fontId="17" fillId="0" borderId="11" xfId="3" applyFont="1" applyBorder="1" applyAlignment="1">
      <alignment horizontal="center"/>
    </xf>
    <xf numFmtId="0" fontId="17" fillId="0" borderId="11" xfId="3" applyFont="1" applyBorder="1"/>
    <xf numFmtId="167" fontId="7" fillId="0" borderId="0" xfId="1" applyNumberFormat="1" applyFont="1" applyFill="1" applyAlignment="1">
      <alignment horizontal="right"/>
    </xf>
    <xf numFmtId="0" fontId="9" fillId="2" borderId="0" xfId="3" applyFont="1" applyFill="1" applyAlignment="1">
      <alignment horizontal="right"/>
    </xf>
    <xf numFmtId="0" fontId="9" fillId="0" borderId="0" xfId="3" applyFont="1" applyAlignment="1">
      <alignment horizontal="right"/>
    </xf>
    <xf numFmtId="18" fontId="9" fillId="0" borderId="0" xfId="3" applyNumberFormat="1" applyFont="1" applyAlignment="1">
      <alignment horizontal="center"/>
    </xf>
    <xf numFmtId="167" fontId="7" fillId="0" borderId="0" xfId="1" applyNumberFormat="1" applyFont="1" applyFill="1"/>
    <xf numFmtId="167" fontId="7" fillId="2" borderId="0" xfId="1" applyNumberFormat="1" applyFont="1" applyFill="1"/>
    <xf numFmtId="167" fontId="17" fillId="16" borderId="0" xfId="1" applyNumberFormat="1" applyFont="1" applyFill="1"/>
    <xf numFmtId="0" fontId="19" fillId="0" borderId="7" xfId="3" applyFont="1" applyBorder="1" applyAlignment="1">
      <alignment horizontal="center"/>
    </xf>
    <xf numFmtId="0" fontId="19" fillId="0" borderId="1" xfId="3" applyFont="1" applyBorder="1"/>
    <xf numFmtId="164" fontId="19" fillId="0" borderId="1" xfId="3" applyNumberFormat="1" applyFont="1" applyBorder="1"/>
    <xf numFmtId="0" fontId="9" fillId="0" borderId="0" xfId="3" applyFont="1"/>
    <xf numFmtId="167" fontId="9" fillId="0" borderId="0" xfId="1" applyNumberFormat="1" applyFont="1" applyFill="1"/>
    <xf numFmtId="167" fontId="17" fillId="0" borderId="0" xfId="1" applyNumberFormat="1" applyFont="1" applyFill="1"/>
    <xf numFmtId="167" fontId="19" fillId="0" borderId="0" xfId="1" applyNumberFormat="1" applyFont="1" applyFill="1"/>
    <xf numFmtId="167" fontId="9" fillId="2" borderId="0" xfId="1" applyNumberFormat="1" applyFont="1" applyFill="1"/>
    <xf numFmtId="167" fontId="21" fillId="0" borderId="0" xfId="1" applyNumberFormat="1" applyFont="1" applyFill="1"/>
    <xf numFmtId="0" fontId="19" fillId="0" borderId="11" xfId="3" applyFont="1" applyBorder="1" applyAlignment="1">
      <alignment horizontal="center"/>
    </xf>
    <xf numFmtId="167" fontId="20" fillId="0" borderId="0" xfId="1" quotePrefix="1" applyNumberFormat="1" applyFont="1" applyFill="1"/>
    <xf numFmtId="0" fontId="17" fillId="0" borderId="14" xfId="3" applyFont="1" applyBorder="1"/>
    <xf numFmtId="0" fontId="7" fillId="0" borderId="0" xfId="3" applyFont="1" applyAlignment="1">
      <alignment horizontal="center"/>
    </xf>
    <xf numFmtId="166" fontId="9" fillId="0" borderId="0" xfId="1" applyFont="1" applyFill="1" applyAlignment="1">
      <alignment horizontal="center"/>
    </xf>
    <xf numFmtId="166" fontId="7" fillId="0" borderId="0" xfId="1" applyFont="1" applyFill="1"/>
    <xf numFmtId="0" fontId="9" fillId="0" borderId="0" xfId="3" applyFont="1" applyAlignment="1">
      <alignment horizontal="center"/>
    </xf>
    <xf numFmtId="166" fontId="9" fillId="0" borderId="0" xfId="1" applyFont="1" applyFill="1"/>
    <xf numFmtId="0" fontId="19" fillId="0" borderId="10" xfId="3" applyFont="1" applyBorder="1"/>
    <xf numFmtId="164" fontId="9" fillId="0" borderId="0" xfId="3" applyNumberFormat="1" applyFont="1"/>
    <xf numFmtId="166" fontId="21" fillId="0" borderId="0" xfId="1" applyFont="1" applyFill="1"/>
    <xf numFmtId="166" fontId="16" fillId="0" borderId="0" xfId="1" applyFont="1" applyFill="1"/>
    <xf numFmtId="164" fontId="7" fillId="0" borderId="0" xfId="3" applyNumberFormat="1" applyFont="1"/>
    <xf numFmtId="167" fontId="7" fillId="0" borderId="0" xfId="3" applyNumberFormat="1" applyFont="1"/>
    <xf numFmtId="0" fontId="19" fillId="0" borderId="1" xfId="3" applyFont="1" applyBorder="1" applyAlignment="1">
      <alignment horizontal="center"/>
    </xf>
    <xf numFmtId="164" fontId="19" fillId="11" borderId="1" xfId="3" applyNumberFormat="1" applyFont="1" applyFill="1" applyBorder="1"/>
    <xf numFmtId="167" fontId="16" fillId="0" borderId="0" xfId="1" applyNumberFormat="1" applyFont="1" applyFill="1"/>
    <xf numFmtId="167" fontId="9" fillId="0" borderId="0" xfId="3" applyNumberFormat="1" applyFont="1"/>
    <xf numFmtId="0" fontId="17" fillId="0" borderId="0" xfId="3" applyFont="1" applyAlignment="1">
      <alignment horizontal="center"/>
    </xf>
    <xf numFmtId="164" fontId="19" fillId="0" borderId="16" xfId="3" applyNumberFormat="1" applyFont="1" applyBorder="1"/>
    <xf numFmtId="167" fontId="20" fillId="0" borderId="0" xfId="1" applyNumberFormat="1" applyFont="1" applyFill="1"/>
    <xf numFmtId="164" fontId="17" fillId="0" borderId="0" xfId="3" applyNumberFormat="1" applyFont="1"/>
    <xf numFmtId="167" fontId="17" fillId="0" borderId="0" xfId="1" applyNumberFormat="1" applyFont="1" applyFill="1" applyAlignment="1">
      <alignment horizontal="center"/>
    </xf>
    <xf numFmtId="0" fontId="17" fillId="0" borderId="0" xfId="3" applyFont="1" applyAlignment="1">
      <alignment horizontal="left" indent="2"/>
    </xf>
    <xf numFmtId="3" fontId="7" fillId="0" borderId="0" xfId="3" applyNumberFormat="1" applyFont="1"/>
    <xf numFmtId="0" fontId="9" fillId="0" borderId="1" xfId="3" applyFont="1" applyBorder="1" applyAlignment="1">
      <alignment horizontal="center"/>
    </xf>
    <xf numFmtId="164" fontId="17" fillId="0" borderId="1" xfId="3" applyNumberFormat="1" applyFont="1" applyBorder="1" applyAlignment="1">
      <alignment horizontal="center" vertical="center"/>
    </xf>
    <xf numFmtId="0" fontId="7" fillId="0" borderId="0" xfId="3" applyFont="1" applyAlignment="1">
      <alignment horizontal="left" indent="1"/>
    </xf>
    <xf numFmtId="0" fontId="16" fillId="0" borderId="0" xfId="3" applyFont="1"/>
    <xf numFmtId="0" fontId="19" fillId="0" borderId="2" xfId="3" applyFont="1" applyBorder="1" applyAlignment="1">
      <alignment horizontal="center"/>
    </xf>
    <xf numFmtId="164" fontId="17" fillId="0" borderId="3" xfId="3" applyNumberFormat="1" applyFont="1" applyBorder="1" applyAlignment="1">
      <alignment horizontal="center" vertical="center"/>
    </xf>
    <xf numFmtId="0" fontId="17" fillId="12" borderId="2" xfId="3" applyFont="1" applyFill="1" applyBorder="1" applyAlignment="1">
      <alignment horizontal="left" indent="1"/>
    </xf>
    <xf numFmtId="164" fontId="17" fillId="12" borderId="1" xfId="3" applyNumberFormat="1" applyFont="1" applyFill="1" applyBorder="1" applyAlignment="1">
      <alignment horizontal="center" vertical="center"/>
    </xf>
    <xf numFmtId="164" fontId="19" fillId="12" borderId="1" xfId="3" applyNumberFormat="1" applyFont="1" applyFill="1" applyBorder="1" applyAlignment="1">
      <alignment horizontal="center" vertical="center"/>
    </xf>
    <xf numFmtId="0" fontId="17" fillId="13" borderId="2" xfId="3" applyFont="1" applyFill="1" applyBorder="1" applyAlignment="1">
      <alignment horizontal="left" indent="1"/>
    </xf>
    <xf numFmtId="164" fontId="19" fillId="13" borderId="1" xfId="3" applyNumberFormat="1" applyFont="1" applyFill="1" applyBorder="1" applyAlignment="1">
      <alignment horizontal="center" vertical="center"/>
    </xf>
    <xf numFmtId="0" fontId="17" fillId="0" borderId="0" xfId="3" applyFont="1" applyAlignment="1">
      <alignment horizontal="left" indent="1"/>
    </xf>
    <xf numFmtId="0" fontId="17" fillId="0" borderId="0" xfId="0" applyFont="1"/>
    <xf numFmtId="0" fontId="23" fillId="0" borderId="0" xfId="0" applyFont="1"/>
    <xf numFmtId="164" fontId="7" fillId="0" borderId="0" xfId="0" applyNumberFormat="1" applyFont="1"/>
    <xf numFmtId="0" fontId="7" fillId="0" borderId="0" xfId="3"/>
    <xf numFmtId="0" fontId="25" fillId="0" borderId="0" xfId="3" applyFont="1"/>
    <xf numFmtId="0" fontId="11" fillId="0" borderId="0" xfId="3" applyFont="1" applyAlignment="1">
      <alignment vertical="center"/>
    </xf>
    <xf numFmtId="17" fontId="7" fillId="0" borderId="0" xfId="2" quotePrefix="1" applyNumberFormat="1" applyFont="1" applyFill="1" applyBorder="1" applyAlignment="1">
      <alignment horizontal="left" vertical="center"/>
    </xf>
    <xf numFmtId="164" fontId="7" fillId="0" borderId="16" xfId="2" applyFont="1" applyFill="1" applyBorder="1" applyAlignment="1">
      <alignment horizontal="left" vertical="center"/>
    </xf>
    <xf numFmtId="164" fontId="9" fillId="0" borderId="16" xfId="2" applyFont="1" applyFill="1" applyBorder="1" applyAlignment="1">
      <alignment horizontal="left" vertical="center"/>
    </xf>
    <xf numFmtId="0" fontId="26" fillId="0" borderId="0" xfId="3" applyFont="1" applyAlignment="1">
      <alignment horizontal="center"/>
    </xf>
    <xf numFmtId="37" fontId="27" fillId="0" borderId="0" xfId="3" applyNumberFormat="1" applyFont="1"/>
    <xf numFmtId="164" fontId="28" fillId="0" borderId="17" xfId="3" applyNumberFormat="1" applyFont="1" applyBorder="1"/>
    <xf numFmtId="0" fontId="20" fillId="0" borderId="4" xfId="3" applyFont="1" applyBorder="1"/>
    <xf numFmtId="37" fontId="1" fillId="0" borderId="0" xfId="3" applyNumberFormat="1" applyFont="1"/>
    <xf numFmtId="164" fontId="1" fillId="0" borderId="0" xfId="3" applyNumberFormat="1" applyFont="1"/>
    <xf numFmtId="164" fontId="30" fillId="0" borderId="0" xfId="3" applyNumberFormat="1" applyFont="1"/>
    <xf numFmtId="37" fontId="9" fillId="0" borderId="0" xfId="3" applyNumberFormat="1" applyFont="1"/>
    <xf numFmtId="0" fontId="4" fillId="0" borderId="0" xfId="3" applyFont="1"/>
    <xf numFmtId="0" fontId="1" fillId="0" borderId="0" xfId="3" applyFont="1"/>
    <xf numFmtId="164" fontId="31" fillId="0" borderId="0" xfId="3" applyNumberFormat="1" applyFont="1"/>
    <xf numFmtId="37" fontId="7" fillId="0" borderId="0" xfId="3" applyNumberFormat="1"/>
    <xf numFmtId="0" fontId="32" fillId="0" borderId="18" xfId="3" applyFont="1" applyBorder="1"/>
    <xf numFmtId="164" fontId="32" fillId="0" borderId="0" xfId="3" applyNumberFormat="1" applyFont="1"/>
    <xf numFmtId="164" fontId="1" fillId="0" borderId="17" xfId="2" applyFont="1" applyFill="1" applyBorder="1" applyAlignment="1">
      <alignment horizontal="left"/>
    </xf>
    <xf numFmtId="0" fontId="9" fillId="0" borderId="18" xfId="3" applyFont="1" applyBorder="1" applyAlignment="1">
      <alignment horizontal="center"/>
    </xf>
    <xf numFmtId="17" fontId="16" fillId="0" borderId="0" xfId="2" quotePrefix="1" applyNumberFormat="1" applyFont="1" applyFill="1" applyBorder="1" applyAlignment="1">
      <alignment horizontal="left" vertical="center"/>
    </xf>
    <xf numFmtId="164" fontId="16" fillId="0" borderId="0" xfId="2" applyFont="1" applyFill="1" applyBorder="1" applyAlignment="1">
      <alignment horizontal="left" vertical="center"/>
    </xf>
    <xf numFmtId="164" fontId="20" fillId="0" borderId="0" xfId="2" applyFont="1" applyFill="1" applyBorder="1" applyAlignment="1">
      <alignment horizontal="left" vertical="center"/>
    </xf>
    <xf numFmtId="0" fontId="16" fillId="0" borderId="0" xfId="3" applyFont="1" applyAlignment="1">
      <alignment vertical="center"/>
    </xf>
    <xf numFmtId="0" fontId="33" fillId="0" borderId="0" xfId="3" applyFont="1"/>
    <xf numFmtId="0" fontId="16" fillId="0" borderId="15" xfId="3" applyFont="1" applyBorder="1" applyAlignment="1">
      <alignment vertical="center"/>
    </xf>
    <xf numFmtId="0" fontId="34" fillId="0" borderId="0" xfId="3" applyFont="1" applyAlignment="1">
      <alignment vertical="center"/>
    </xf>
    <xf numFmtId="0" fontId="16" fillId="0" borderId="0" xfId="3" applyFont="1" applyAlignment="1">
      <alignment horizontal="center" vertical="center"/>
    </xf>
    <xf numFmtId="0" fontId="20" fillId="0" borderId="0" xfId="3" applyFont="1" applyAlignment="1">
      <alignment vertical="center"/>
    </xf>
    <xf numFmtId="0" fontId="35" fillId="0" borderId="15" xfId="3" applyFont="1" applyBorder="1" applyAlignment="1">
      <alignment vertical="center"/>
    </xf>
    <xf numFmtId="0" fontId="36" fillId="0" borderId="2" xfId="3" applyFont="1" applyBorder="1" applyAlignment="1">
      <alignment horizontal="center" vertical="center"/>
    </xf>
    <xf numFmtId="0" fontId="16" fillId="0" borderId="9" xfId="3" applyFont="1" applyBorder="1" applyAlignment="1">
      <alignment vertical="center"/>
    </xf>
    <xf numFmtId="0" fontId="20" fillId="0" borderId="9" xfId="3" quotePrefix="1" applyFont="1" applyBorder="1" applyAlignment="1">
      <alignment horizontal="center" vertical="center"/>
    </xf>
    <xf numFmtId="0" fontId="16" fillId="0" borderId="9" xfId="3" quotePrefix="1" applyFont="1" applyBorder="1" applyAlignment="1">
      <alignment horizontal="left" vertical="center"/>
    </xf>
    <xf numFmtId="0" fontId="16" fillId="0" borderId="10" xfId="3" applyFont="1" applyBorder="1" applyAlignment="1">
      <alignment vertical="center"/>
    </xf>
    <xf numFmtId="0" fontId="37" fillId="0" borderId="0" xfId="3" applyFont="1"/>
    <xf numFmtId="0" fontId="20" fillId="0" borderId="4" xfId="3" applyFont="1" applyBorder="1" applyAlignment="1">
      <alignment vertical="center"/>
    </xf>
    <xf numFmtId="0" fontId="16" fillId="0" borderId="14" xfId="3" applyFont="1" applyBorder="1" applyAlignment="1">
      <alignment vertical="center"/>
    </xf>
    <xf numFmtId="37" fontId="7" fillId="0" borderId="0" xfId="3" applyNumberFormat="1" applyFont="1"/>
    <xf numFmtId="0" fontId="16" fillId="0" borderId="4" xfId="3" applyFont="1" applyBorder="1" applyAlignment="1">
      <alignment vertical="center"/>
    </xf>
    <xf numFmtId="0" fontId="16" fillId="0" borderId="5" xfId="3" applyFont="1" applyBorder="1" applyAlignment="1">
      <alignment vertical="center"/>
    </xf>
    <xf numFmtId="0" fontId="16" fillId="0" borderId="16" xfId="3" applyFont="1" applyBorder="1" applyAlignment="1">
      <alignment vertical="center"/>
    </xf>
    <xf numFmtId="0" fontId="20" fillId="0" borderId="16" xfId="3" applyFont="1" applyBorder="1" applyAlignment="1">
      <alignment vertical="center"/>
    </xf>
    <xf numFmtId="0" fontId="16" fillId="0" borderId="16" xfId="3" applyFont="1" applyBorder="1" applyAlignment="1">
      <alignment horizontal="left" vertical="center"/>
    </xf>
    <xf numFmtId="0" fontId="16" fillId="0" borderId="12" xfId="3" applyFont="1" applyBorder="1" applyAlignment="1">
      <alignment vertical="center"/>
    </xf>
    <xf numFmtId="0" fontId="16" fillId="0" borderId="10" xfId="3" applyFont="1" applyBorder="1" applyAlignment="1">
      <alignment horizontal="center" vertical="center"/>
    </xf>
    <xf numFmtId="0" fontId="7" fillId="0" borderId="18" xfId="3" applyFont="1" applyBorder="1"/>
    <xf numFmtId="37" fontId="20" fillId="0" borderId="0" xfId="3" applyNumberFormat="1" applyFont="1" applyAlignment="1">
      <alignment horizontal="left" vertical="center"/>
    </xf>
    <xf numFmtId="37" fontId="16" fillId="0" borderId="0" xfId="3" applyNumberFormat="1" applyFont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16" fillId="0" borderId="14" xfId="3" applyFont="1" applyBorder="1" applyAlignment="1">
      <alignment horizontal="left" vertical="center"/>
    </xf>
    <xf numFmtId="0" fontId="16" fillId="0" borderId="2" xfId="3" applyFont="1" applyBorder="1" applyAlignment="1">
      <alignment vertical="center"/>
    </xf>
    <xf numFmtId="164" fontId="16" fillId="0" borderId="10" xfId="2" applyFont="1" applyFill="1" applyBorder="1" applyAlignment="1">
      <alignment vertical="center"/>
    </xf>
    <xf numFmtId="164" fontId="16" fillId="0" borderId="9" xfId="2" applyFont="1" applyFill="1" applyBorder="1" applyAlignment="1">
      <alignment vertical="center"/>
    </xf>
    <xf numFmtId="37" fontId="16" fillId="0" borderId="0" xfId="3" quotePrefix="1" applyNumberFormat="1" applyFont="1" applyAlignment="1">
      <alignment horizontal="left" vertical="center"/>
    </xf>
    <xf numFmtId="37" fontId="16" fillId="0" borderId="14" xfId="3" applyNumberFormat="1" applyFont="1" applyBorder="1" applyAlignment="1">
      <alignment horizontal="left" vertical="center"/>
    </xf>
    <xf numFmtId="0" fontId="16" fillId="0" borderId="8" xfId="3" applyFont="1" applyBorder="1" applyAlignment="1">
      <alignment horizontal="left" vertical="center"/>
    </xf>
    <xf numFmtId="0" fontId="20" fillId="0" borderId="15" xfId="3" applyFont="1" applyBorder="1" applyAlignment="1">
      <alignment vertical="center"/>
    </xf>
    <xf numFmtId="0" fontId="16" fillId="0" borderId="13" xfId="3" applyFont="1" applyBorder="1" applyAlignment="1">
      <alignment vertical="center"/>
    </xf>
    <xf numFmtId="0" fontId="7" fillId="0" borderId="0" xfId="3" quotePrefix="1" applyFont="1"/>
    <xf numFmtId="0" fontId="16" fillId="0" borderId="4" xfId="3" quotePrefix="1" applyFont="1" applyBorder="1" applyAlignment="1">
      <alignment horizontal="right" vertical="center"/>
    </xf>
    <xf numFmtId="164" fontId="20" fillId="0" borderId="10" xfId="2" applyFont="1" applyFill="1" applyBorder="1" applyAlignment="1">
      <alignment vertical="center"/>
    </xf>
    <xf numFmtId="164" fontId="16" fillId="0" borderId="10" xfId="3" applyNumberFormat="1" applyFont="1" applyBorder="1" applyAlignment="1">
      <alignment vertical="center"/>
    </xf>
    <xf numFmtId="0" fontId="16" fillId="0" borderId="4" xfId="3" applyFont="1" applyBorder="1" applyAlignment="1">
      <alignment horizontal="right" vertical="center"/>
    </xf>
    <xf numFmtId="0" fontId="20" fillId="0" borderId="5" xfId="3" applyFont="1" applyBorder="1" applyAlignment="1">
      <alignment horizontal="left" vertical="center"/>
    </xf>
    <xf numFmtId="0" fontId="34" fillId="0" borderId="0" xfId="3" applyFont="1" applyAlignment="1">
      <alignment horizontal="left" vertical="center"/>
    </xf>
    <xf numFmtId="0" fontId="39" fillId="0" borderId="0" xfId="3" quotePrefix="1" applyFont="1" applyAlignment="1">
      <alignment vertical="center"/>
    </xf>
    <xf numFmtId="164" fontId="16" fillId="0" borderId="0" xfId="2" applyFont="1" applyFill="1" applyBorder="1" applyAlignment="1">
      <alignment horizontal="right" vertical="center"/>
    </xf>
    <xf numFmtId="0" fontId="16" fillId="0" borderId="0" xfId="3" quotePrefix="1" applyFont="1" applyAlignment="1">
      <alignment vertical="center"/>
    </xf>
    <xf numFmtId="0" fontId="16" fillId="0" borderId="0" xfId="3" quotePrefix="1" applyFont="1" applyAlignment="1">
      <alignment horizontal="left" vertical="center"/>
    </xf>
    <xf numFmtId="164" fontId="16" fillId="0" borderId="2" xfId="2" applyFont="1" applyFill="1" applyBorder="1" applyAlignment="1">
      <alignment vertical="center"/>
    </xf>
    <xf numFmtId="0" fontId="7" fillId="0" borderId="14" xfId="3" applyFont="1" applyBorder="1"/>
    <xf numFmtId="164" fontId="16" fillId="0" borderId="2" xfId="3" applyNumberFormat="1" applyFont="1" applyBorder="1" applyAlignment="1">
      <alignment vertical="center"/>
    </xf>
    <xf numFmtId="0" fontId="1" fillId="0" borderId="0" xfId="3" applyFont="1" applyAlignment="1">
      <alignment horizontal="center"/>
    </xf>
    <xf numFmtId="0" fontId="16" fillId="0" borderId="9" xfId="3" applyFont="1" applyBorder="1" applyAlignment="1">
      <alignment horizontal="center" vertical="center"/>
    </xf>
    <xf numFmtId="164" fontId="20" fillId="0" borderId="10" xfId="3" applyNumberFormat="1" applyFont="1" applyBorder="1" applyAlignment="1">
      <alignment vertical="center"/>
    </xf>
    <xf numFmtId="0" fontId="16" fillId="0" borderId="0" xfId="3" quotePrefix="1" applyFont="1" applyAlignment="1">
      <alignment horizontal="center" vertical="center"/>
    </xf>
    <xf numFmtId="0" fontId="39" fillId="0" borderId="0" xfId="3" quotePrefix="1" applyFont="1" applyAlignment="1">
      <alignment horizontal="left" vertical="center"/>
    </xf>
    <xf numFmtId="164" fontId="40" fillId="0" borderId="0" xfId="3" applyNumberFormat="1" applyFont="1"/>
    <xf numFmtId="164" fontId="20" fillId="0" borderId="0" xfId="2" applyFont="1" applyFill="1" applyBorder="1" applyAlignment="1">
      <alignment vertical="center"/>
    </xf>
    <xf numFmtId="0" fontId="16" fillId="0" borderId="16" xfId="3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164" fontId="20" fillId="0" borderId="16" xfId="2" applyFont="1" applyFill="1" applyBorder="1" applyAlignment="1">
      <alignment vertical="center"/>
    </xf>
    <xf numFmtId="164" fontId="7" fillId="0" borderId="17" xfId="3" applyNumberFormat="1" applyFont="1" applyBorder="1"/>
    <xf numFmtId="164" fontId="16" fillId="0" borderId="0" xfId="2" applyFont="1" applyFill="1" applyBorder="1" applyAlignment="1">
      <alignment vertical="center"/>
    </xf>
    <xf numFmtId="0" fontId="22" fillId="0" borderId="0" xfId="3" applyFont="1" applyAlignment="1">
      <alignment horizontal="center"/>
    </xf>
    <xf numFmtId="0" fontId="41" fillId="0" borderId="16" xfId="3" applyFont="1" applyBorder="1" applyAlignment="1">
      <alignment vertical="center"/>
    </xf>
    <xf numFmtId="0" fontId="7" fillId="0" borderId="16" xfId="3" applyFont="1" applyBorder="1" applyAlignment="1">
      <alignment vertical="center"/>
    </xf>
    <xf numFmtId="0" fontId="7" fillId="0" borderId="0" xfId="3" applyFont="1" applyAlignment="1">
      <alignment vertical="center"/>
    </xf>
    <xf numFmtId="0" fontId="41" fillId="0" borderId="0" xfId="3" applyFont="1" applyAlignment="1">
      <alignment vertical="center"/>
    </xf>
    <xf numFmtId="0" fontId="41" fillId="0" borderId="0" xfId="3" applyFont="1" applyAlignment="1">
      <alignment horizontal="center" vertical="center"/>
    </xf>
    <xf numFmtId="0" fontId="43" fillId="0" borderId="0" xfId="3" quotePrefix="1" applyFont="1" applyAlignment="1">
      <alignment horizontal="center" vertical="center"/>
    </xf>
    <xf numFmtId="0" fontId="7" fillId="17" borderId="0" xfId="3" applyFill="1" applyAlignment="1">
      <alignment horizontal="center"/>
    </xf>
    <xf numFmtId="39" fontId="7" fillId="0" borderId="0" xfId="3" applyNumberFormat="1"/>
    <xf numFmtId="0" fontId="7" fillId="17" borderId="2" xfId="3" applyFill="1" applyBorder="1" applyAlignment="1">
      <alignment horizontal="center"/>
    </xf>
    <xf numFmtId="0" fontId="21" fillId="0" borderId="0" xfId="3" applyFont="1"/>
    <xf numFmtId="0" fontId="7" fillId="0" borderId="0" xfId="3" applyAlignment="1">
      <alignment vertical="center"/>
    </xf>
    <xf numFmtId="0" fontId="7" fillId="0" borderId="0" xfId="3" applyAlignment="1">
      <alignment horizontal="center" vertical="center"/>
    </xf>
    <xf numFmtId="39" fontId="9" fillId="0" borderId="0" xfId="3" applyNumberFormat="1" applyFont="1"/>
    <xf numFmtId="43" fontId="7" fillId="0" borderId="0" xfId="3" applyNumberFormat="1"/>
    <xf numFmtId="164" fontId="7" fillId="0" borderId="0" xfId="3" applyNumberFormat="1"/>
    <xf numFmtId="166" fontId="7" fillId="0" borderId="0" xfId="3" applyNumberFormat="1"/>
    <xf numFmtId="167" fontId="7" fillId="0" borderId="0" xfId="1" applyNumberFormat="1" applyFont="1"/>
    <xf numFmtId="0" fontId="7" fillId="0" borderId="16" xfId="3" applyBorder="1"/>
    <xf numFmtId="169" fontId="7" fillId="0" borderId="16" xfId="3" applyNumberFormat="1" applyBorder="1"/>
    <xf numFmtId="0" fontId="7" fillId="0" borderId="16" xfId="3" applyBorder="1" applyAlignment="1">
      <alignment horizontal="center"/>
    </xf>
    <xf numFmtId="0" fontId="45" fillId="0" borderId="10" xfId="3" applyFont="1" applyBorder="1" applyAlignment="1">
      <alignment horizontal="center" vertical="center" wrapText="1"/>
    </xf>
    <xf numFmtId="39" fontId="30" fillId="0" borderId="9" xfId="3" applyNumberFormat="1" applyFont="1" applyBorder="1" applyAlignment="1">
      <alignment horizontal="right" vertical="center" wrapText="1"/>
    </xf>
    <xf numFmtId="170" fontId="45" fillId="0" borderId="2" xfId="3" applyNumberFormat="1" applyFont="1" applyBorder="1" applyAlignment="1">
      <alignment horizontal="center" vertical="center"/>
    </xf>
    <xf numFmtId="39" fontId="30" fillId="18" borderId="9" xfId="3" applyNumberFormat="1" applyFont="1" applyFill="1" applyBorder="1" applyAlignment="1">
      <alignment horizontal="right" vertical="center" wrapText="1"/>
    </xf>
    <xf numFmtId="39" fontId="45" fillId="0" borderId="9" xfId="3" applyNumberFormat="1" applyFont="1" applyBorder="1" applyAlignment="1">
      <alignment horizontal="right" vertical="center" wrapText="1"/>
    </xf>
    <xf numFmtId="37" fontId="30" fillId="0" borderId="0" xfId="3" applyNumberFormat="1" applyFont="1" applyAlignment="1">
      <alignment horizontal="right" vertical="center" wrapText="1"/>
    </xf>
    <xf numFmtId="39" fontId="46" fillId="0" borderId="9" xfId="3" applyNumberFormat="1" applyFont="1" applyBorder="1" applyAlignment="1">
      <alignment horizontal="right" vertical="center" wrapText="1"/>
    </xf>
    <xf numFmtId="39" fontId="11" fillId="0" borderId="9" xfId="3" applyNumberFormat="1" applyFont="1" applyBorder="1" applyAlignment="1">
      <alignment horizontal="right" vertical="center" wrapText="1"/>
    </xf>
    <xf numFmtId="171" fontId="7" fillId="0" borderId="9" xfId="2" applyNumberFormat="1" applyFont="1" applyBorder="1" applyAlignment="1">
      <alignment vertical="center"/>
    </xf>
    <xf numFmtId="0" fontId="7" fillId="0" borderId="1" xfId="3" applyBorder="1" applyAlignment="1">
      <alignment horizontal="center" vertical="center" wrapText="1"/>
    </xf>
    <xf numFmtId="167" fontId="9" fillId="0" borderId="0" xfId="1" applyNumberFormat="1" applyFont="1"/>
    <xf numFmtId="0" fontId="8" fillId="0" borderId="1" xfId="3" applyFont="1" applyBorder="1" applyAlignment="1">
      <alignment horizontal="center" vertical="center" wrapText="1"/>
    </xf>
    <xf numFmtId="171" fontId="45" fillId="0" borderId="9" xfId="2" applyNumberFormat="1" applyFont="1" applyFill="1" applyBorder="1" applyAlignment="1">
      <alignment horizontal="center" vertical="center" wrapText="1"/>
    </xf>
    <xf numFmtId="0" fontId="7" fillId="0" borderId="0" xfId="3" applyAlignment="1">
      <alignment horizontal="left"/>
    </xf>
    <xf numFmtId="0" fontId="8" fillId="0" borderId="0" xfId="3" applyFont="1" applyAlignment="1">
      <alignment horizontal="left"/>
    </xf>
    <xf numFmtId="0" fontId="11" fillId="0" borderId="25" xfId="3" applyFont="1" applyBorder="1" applyAlignment="1">
      <alignment horizontal="center"/>
    </xf>
    <xf numFmtId="0" fontId="11" fillId="0" borderId="0" xfId="3" quotePrefix="1" applyFont="1" applyAlignment="1">
      <alignment vertical="center"/>
    </xf>
    <xf numFmtId="0" fontId="11" fillId="0" borderId="15" xfId="3" quotePrefix="1" applyFont="1" applyBorder="1" applyAlignment="1">
      <alignment vertical="center"/>
    </xf>
    <xf numFmtId="0" fontId="11" fillId="0" borderId="2" xfId="3" applyFont="1" applyBorder="1" applyAlignment="1">
      <alignment horizontal="left" vertical="center"/>
    </xf>
    <xf numFmtId="0" fontId="11" fillId="0" borderId="26" xfId="3" applyFont="1" applyBorder="1" applyAlignment="1">
      <alignment horizontal="center" vertical="center"/>
    </xf>
    <xf numFmtId="0" fontId="11" fillId="0" borderId="9" xfId="3" quotePrefix="1" applyFont="1" applyBorder="1" applyAlignment="1">
      <alignment vertical="center"/>
    </xf>
    <xf numFmtId="0" fontId="11" fillId="0" borderId="25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5" xfId="3" applyFont="1" applyBorder="1" applyAlignment="1">
      <alignment horizontal="left" vertical="center"/>
    </xf>
    <xf numFmtId="0" fontId="11" fillId="0" borderId="9" xfId="3" quotePrefix="1" applyFont="1" applyBorder="1" applyAlignment="1">
      <alignment horizontal="right" vertical="center"/>
    </xf>
    <xf numFmtId="0" fontId="11" fillId="0" borderId="30" xfId="3" applyFont="1" applyBorder="1" applyAlignment="1">
      <alignment vertical="center"/>
    </xf>
    <xf numFmtId="0" fontId="11" fillId="0" borderId="31" xfId="3" applyFont="1" applyBorder="1" applyAlignment="1">
      <alignment horizontal="left" vertical="center"/>
    </xf>
    <xf numFmtId="0" fontId="11" fillId="0" borderId="33" xfId="3" applyFont="1" applyBorder="1" applyAlignment="1">
      <alignment horizontal="center" vertical="center"/>
    </xf>
    <xf numFmtId="0" fontId="9" fillId="0" borderId="0" xfId="3" applyFont="1" applyAlignment="1">
      <alignment horizontal="left"/>
    </xf>
    <xf numFmtId="164" fontId="9" fillId="0" borderId="44" xfId="3" applyNumberFormat="1" applyFont="1" applyBorder="1"/>
    <xf numFmtId="164" fontId="9" fillId="0" borderId="1" xfId="3" applyNumberFormat="1" applyFont="1" applyBorder="1"/>
    <xf numFmtId="164" fontId="9" fillId="0" borderId="1" xfId="3" applyNumberFormat="1" applyFont="1" applyBorder="1" applyAlignment="1">
      <alignment horizontal="center"/>
    </xf>
    <xf numFmtId="0" fontId="9" fillId="0" borderId="1" xfId="3" applyFont="1" applyBorder="1"/>
    <xf numFmtId="0" fontId="9" fillId="0" borderId="52" xfId="3" applyFont="1" applyBorder="1" applyAlignment="1">
      <alignment horizontal="center"/>
    </xf>
    <xf numFmtId="0" fontId="9" fillId="0" borderId="44" xfId="3" applyFont="1" applyBorder="1" applyAlignment="1">
      <alignment horizontal="center"/>
    </xf>
    <xf numFmtId="0" fontId="9" fillId="0" borderId="53" xfId="3" applyFont="1" applyBorder="1" applyAlignment="1">
      <alignment horizontal="center"/>
    </xf>
    <xf numFmtId="0" fontId="7" fillId="0" borderId="0" xfId="3" applyFont="1" applyAlignment="1">
      <alignment horizontal="left" indent="5"/>
    </xf>
    <xf numFmtId="0" fontId="7" fillId="0" borderId="0" xfId="3" applyFont="1" applyAlignment="1">
      <alignment horizontal="left"/>
    </xf>
    <xf numFmtId="17" fontId="7" fillId="0" borderId="0" xfId="3" applyNumberFormat="1" applyFont="1" applyAlignment="1">
      <alignment horizontal="left"/>
    </xf>
    <xf numFmtId="0" fontId="7" fillId="0" borderId="52" xfId="3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7" fillId="0" borderId="44" xfId="3" applyFont="1" applyBorder="1" applyAlignment="1">
      <alignment horizontal="center"/>
    </xf>
    <xf numFmtId="0" fontId="7" fillId="0" borderId="51" xfId="3" applyFont="1" applyBorder="1"/>
    <xf numFmtId="0" fontId="7" fillId="0" borderId="1" xfId="3" applyFont="1" applyBorder="1"/>
    <xf numFmtId="164" fontId="7" fillId="0" borderId="1" xfId="3" applyNumberFormat="1" applyFont="1" applyBorder="1" applyAlignment="1">
      <alignment horizontal="center"/>
    </xf>
    <xf numFmtId="164" fontId="7" fillId="0" borderId="1" xfId="3" applyNumberFormat="1" applyFont="1" applyBorder="1"/>
    <xf numFmtId="164" fontId="7" fillId="0" borderId="44" xfId="3" applyNumberFormat="1" applyFont="1" applyBorder="1"/>
    <xf numFmtId="0" fontId="7" fillId="0" borderId="43" xfId="3" applyFont="1" applyBorder="1"/>
    <xf numFmtId="0" fontId="7" fillId="0" borderId="50" xfId="3" applyFont="1" applyBorder="1"/>
    <xf numFmtId="0" fontId="7" fillId="0" borderId="3" xfId="3" applyFont="1" applyBorder="1"/>
    <xf numFmtId="164" fontId="7" fillId="0" borderId="3" xfId="3" applyNumberFormat="1" applyFont="1" applyBorder="1" applyAlignment="1">
      <alignment horizontal="center"/>
    </xf>
    <xf numFmtId="164" fontId="7" fillId="0" borderId="3" xfId="3" applyNumberFormat="1" applyFont="1" applyBorder="1"/>
    <xf numFmtId="164" fontId="7" fillId="0" borderId="42" xfId="3" applyNumberFormat="1" applyFont="1" applyBorder="1"/>
    <xf numFmtId="0" fontId="7" fillId="0" borderId="49" xfId="3" applyFont="1" applyBorder="1"/>
    <xf numFmtId="0" fontId="7" fillId="0" borderId="48" xfId="3" applyFont="1" applyBorder="1"/>
    <xf numFmtId="164" fontId="7" fillId="0" borderId="48" xfId="3" applyNumberFormat="1" applyFont="1" applyBorder="1" applyAlignment="1">
      <alignment horizontal="center"/>
    </xf>
    <xf numFmtId="164" fontId="7" fillId="0" borderId="48" xfId="3" applyNumberFormat="1" applyFont="1" applyBorder="1"/>
    <xf numFmtId="164" fontId="7" fillId="0" borderId="47" xfId="3" applyNumberFormat="1" applyFont="1" applyBorder="1"/>
    <xf numFmtId="0" fontId="7" fillId="0" borderId="50" xfId="3" applyFont="1" applyBorder="1" applyAlignment="1">
      <alignment horizontal="center"/>
    </xf>
    <xf numFmtId="0" fontId="7" fillId="0" borderId="7" xfId="3" applyFont="1" applyBorder="1"/>
    <xf numFmtId="164" fontId="7" fillId="0" borderId="7" xfId="3" applyNumberFormat="1" applyFont="1" applyBorder="1"/>
    <xf numFmtId="164" fontId="7" fillId="0" borderId="45" xfId="3" applyNumberFormat="1" applyFont="1" applyBorder="1"/>
    <xf numFmtId="0" fontId="7" fillId="0" borderId="49" xfId="3" applyFont="1" applyBorder="1" applyAlignment="1">
      <alignment horizontal="center"/>
    </xf>
    <xf numFmtId="0" fontId="9" fillId="19" borderId="41" xfId="3" applyFont="1" applyFill="1" applyBorder="1" applyAlignment="1">
      <alignment horizontal="center"/>
    </xf>
    <xf numFmtId="0" fontId="9" fillId="19" borderId="40" xfId="3" applyFont="1" applyFill="1" applyBorder="1"/>
    <xf numFmtId="164" fontId="9" fillId="19" borderId="40" xfId="3" applyNumberFormat="1" applyFont="1" applyFill="1" applyBorder="1"/>
    <xf numFmtId="164" fontId="9" fillId="19" borderId="39" xfId="3" applyNumberFormat="1" applyFont="1" applyFill="1" applyBorder="1"/>
    <xf numFmtId="0" fontId="7" fillId="0" borderId="46" xfId="3" applyFont="1" applyBorder="1"/>
    <xf numFmtId="0" fontId="9" fillId="20" borderId="41" xfId="3" applyFont="1" applyFill="1" applyBorder="1" applyAlignment="1">
      <alignment horizontal="center"/>
    </xf>
    <xf numFmtId="0" fontId="9" fillId="20" borderId="40" xfId="3" applyFont="1" applyFill="1" applyBorder="1"/>
    <xf numFmtId="164" fontId="9" fillId="20" borderId="40" xfId="3" applyNumberFormat="1" applyFont="1" applyFill="1" applyBorder="1"/>
    <xf numFmtId="164" fontId="9" fillId="20" borderId="39" xfId="3" applyNumberFormat="1" applyFont="1" applyFill="1" applyBorder="1"/>
    <xf numFmtId="0" fontId="9" fillId="19" borderId="41" xfId="3" applyFont="1" applyFill="1" applyBorder="1" applyAlignment="1">
      <alignment horizontal="center" vertical="center" wrapText="1"/>
    </xf>
    <xf numFmtId="0" fontId="9" fillId="19" borderId="40" xfId="3" applyFont="1" applyFill="1" applyBorder="1" applyAlignment="1">
      <alignment horizontal="left" vertical="center" wrapText="1"/>
    </xf>
    <xf numFmtId="164" fontId="9" fillId="19" borderId="40" xfId="3" applyNumberFormat="1" applyFont="1" applyFill="1" applyBorder="1" applyAlignment="1">
      <alignment horizontal="center" vertical="center" wrapText="1"/>
    </xf>
    <xf numFmtId="164" fontId="9" fillId="19" borderId="39" xfId="3" applyNumberFormat="1" applyFont="1" applyFill="1" applyBorder="1" applyAlignment="1">
      <alignment horizontal="center" vertical="center" wrapText="1"/>
    </xf>
    <xf numFmtId="164" fontId="48" fillId="0" borderId="0" xfId="3" applyNumberFormat="1" applyFont="1"/>
    <xf numFmtId="164" fontId="49" fillId="0" borderId="0" xfId="3" applyNumberFormat="1" applyFont="1"/>
    <xf numFmtId="0" fontId="9" fillId="0" borderId="0" xfId="3" applyFont="1" applyAlignment="1">
      <alignment horizontal="center" vertical="center" wrapText="1"/>
    </xf>
    <xf numFmtId="0" fontId="9" fillId="0" borderId="0" xfId="3" applyFont="1" applyAlignment="1">
      <alignment horizontal="left" vertical="center" wrapText="1"/>
    </xf>
    <xf numFmtId="164" fontId="9" fillId="0" borderId="0" xfId="3" applyNumberFormat="1" applyFont="1" applyAlignment="1">
      <alignment horizontal="center" vertical="center" wrapText="1"/>
    </xf>
    <xf numFmtId="3" fontId="7" fillId="0" borderId="0" xfId="3" applyNumberFormat="1" applyFont="1" applyAlignment="1">
      <alignment horizontal="left"/>
    </xf>
    <xf numFmtId="164" fontId="9" fillId="0" borderId="0" xfId="3" applyNumberFormat="1" applyFont="1" applyAlignment="1">
      <alignment horizontal="left" vertical="top"/>
    </xf>
    <xf numFmtId="0" fontId="7" fillId="0" borderId="0" xfId="3" applyFont="1" applyAlignment="1">
      <alignment horizontal="left" vertical="top" wrapText="1"/>
    </xf>
    <xf numFmtId="0" fontId="9" fillId="0" borderId="0" xfId="3" quotePrefix="1" applyFont="1" applyAlignment="1">
      <alignment horizontal="left"/>
    </xf>
    <xf numFmtId="0" fontId="7" fillId="0" borderId="0" xfId="3" quotePrefix="1" applyFont="1" applyAlignment="1">
      <alignment horizontal="left"/>
    </xf>
    <xf numFmtId="164" fontId="7" fillId="0" borderId="0" xfId="3" applyNumberFormat="1" applyFont="1" applyBorder="1" applyAlignment="1"/>
    <xf numFmtId="0" fontId="17" fillId="0" borderId="0" xfId="3" applyFont="1" applyAlignment="1"/>
    <xf numFmtId="0" fontId="23" fillId="0" borderId="0" xfId="3" applyFont="1" applyAlignment="1"/>
    <xf numFmtId="0" fontId="17" fillId="0" borderId="1" xfId="3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0" fontId="19" fillId="0" borderId="8" xfId="3" applyFont="1" applyBorder="1" applyAlignment="1">
      <alignment horizontal="center" vertical="center"/>
    </xf>
    <xf numFmtId="0" fontId="19" fillId="0" borderId="2" xfId="3" applyFont="1" applyBorder="1" applyAlignment="1">
      <alignment horizontal="center"/>
    </xf>
    <xf numFmtId="0" fontId="17" fillId="0" borderId="1" xfId="3" applyFont="1" applyBorder="1" applyAlignment="1">
      <alignment horizontal="left" vertical="center"/>
    </xf>
    <xf numFmtId="0" fontId="15" fillId="0" borderId="0" xfId="3" applyFont="1" applyAlignment="1">
      <alignment horizontal="center"/>
    </xf>
    <xf numFmtId="3" fontId="21" fillId="0" borderId="0" xfId="3" applyNumberFormat="1" applyFont="1" applyAlignment="1">
      <alignment horizontal="left"/>
    </xf>
    <xf numFmtId="0" fontId="7" fillId="0" borderId="0" xfId="3" applyAlignment="1">
      <alignment horizontal="left" vertical="center" wrapText="1"/>
    </xf>
    <xf numFmtId="0" fontId="7" fillId="0" borderId="0" xfId="3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left"/>
    </xf>
    <xf numFmtId="0" fontId="7" fillId="0" borderId="0" xfId="3" applyAlignment="1">
      <alignment horizontal="left" wrapText="1"/>
    </xf>
    <xf numFmtId="0" fontId="44" fillId="17" borderId="2" xfId="3" applyFont="1" applyFill="1" applyBorder="1" applyAlignment="1">
      <alignment horizontal="left" vertical="center" wrapText="1"/>
    </xf>
    <xf numFmtId="0" fontId="44" fillId="17" borderId="9" xfId="3" applyFont="1" applyFill="1" applyBorder="1" applyAlignment="1">
      <alignment horizontal="left" vertical="center" wrapText="1"/>
    </xf>
    <xf numFmtId="0" fontId="44" fillId="17" borderId="10" xfId="3" applyFont="1" applyFill="1" applyBorder="1" applyAlignment="1">
      <alignment horizontal="left" vertical="center" wrapText="1"/>
    </xf>
    <xf numFmtId="0" fontId="7" fillId="0" borderId="0" xfId="3" applyAlignment="1">
      <alignment horizontal="left"/>
    </xf>
    <xf numFmtId="39" fontId="7" fillId="0" borderId="0" xfId="3" applyNumberFormat="1" applyAlignment="1">
      <alignment horizontal="center"/>
    </xf>
    <xf numFmtId="0" fontId="44" fillId="17" borderId="5" xfId="3" applyFont="1" applyFill="1" applyBorder="1" applyAlignment="1">
      <alignment horizontal="left" vertical="center" wrapText="1"/>
    </xf>
    <xf numFmtId="0" fontId="44" fillId="17" borderId="16" xfId="3" applyFont="1" applyFill="1" applyBorder="1" applyAlignment="1">
      <alignment horizontal="left" vertical="center" wrapText="1"/>
    </xf>
    <xf numFmtId="0" fontId="44" fillId="17" borderId="12" xfId="3" applyFont="1" applyFill="1" applyBorder="1" applyAlignment="1">
      <alignment horizontal="left" vertical="center" wrapText="1"/>
    </xf>
    <xf numFmtId="0" fontId="44" fillId="17" borderId="8" xfId="3" applyFont="1" applyFill="1" applyBorder="1" applyAlignment="1">
      <alignment horizontal="left" vertical="center" wrapText="1"/>
    </xf>
    <xf numFmtId="0" fontId="44" fillId="17" borderId="15" xfId="3" applyFont="1" applyFill="1" applyBorder="1" applyAlignment="1">
      <alignment horizontal="left" vertical="center" wrapText="1"/>
    </xf>
    <xf numFmtId="0" fontId="44" fillId="17" borderId="13" xfId="3" applyFont="1" applyFill="1" applyBorder="1" applyAlignment="1">
      <alignment horizontal="left" vertical="center" wrapText="1"/>
    </xf>
    <xf numFmtId="3" fontId="7" fillId="0" borderId="0" xfId="3" applyNumberFormat="1" applyAlignment="1">
      <alignment horizontal="center"/>
    </xf>
    <xf numFmtId="0" fontId="8" fillId="0" borderId="1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15" fontId="7" fillId="0" borderId="1" xfId="3" applyNumberFormat="1" applyBorder="1" applyAlignment="1">
      <alignment horizontal="center" vertical="center" wrapText="1"/>
    </xf>
    <xf numFmtId="0" fontId="7" fillId="0" borderId="1" xfId="3" applyBorder="1" applyAlignment="1">
      <alignment horizontal="center" vertical="center" wrapText="1"/>
    </xf>
    <xf numFmtId="0" fontId="7" fillId="0" borderId="2" xfId="3" applyBorder="1" applyAlignment="1">
      <alignment horizontal="center" vertical="center" wrapText="1"/>
    </xf>
    <xf numFmtId="0" fontId="7" fillId="0" borderId="9" xfId="3" applyBorder="1" applyAlignment="1">
      <alignment horizontal="center" vertical="center" wrapText="1"/>
    </xf>
    <xf numFmtId="0" fontId="7" fillId="0" borderId="10" xfId="3" applyBorder="1" applyAlignment="1">
      <alignment horizontal="center" vertical="center" wrapText="1"/>
    </xf>
    <xf numFmtId="0" fontId="7" fillId="0" borderId="1" xfId="3" applyBorder="1" applyAlignment="1">
      <alignment horizontal="center"/>
    </xf>
    <xf numFmtId="39" fontId="7" fillId="0" borderId="1" xfId="3" applyNumberFormat="1" applyBorder="1" applyAlignment="1">
      <alignment horizontal="center"/>
    </xf>
    <xf numFmtId="0" fontId="7" fillId="0" borderId="2" xfId="3" applyBorder="1" applyAlignment="1">
      <alignment horizontal="left" vertical="center"/>
    </xf>
    <xf numFmtId="0" fontId="7" fillId="0" borderId="9" xfId="3" applyBorder="1" applyAlignment="1">
      <alignment horizontal="left" vertical="center"/>
    </xf>
    <xf numFmtId="0" fontId="7" fillId="0" borderId="10" xfId="3" applyBorder="1" applyAlignment="1">
      <alignment horizontal="left" vertical="center"/>
    </xf>
    <xf numFmtId="0" fontId="7" fillId="0" borderId="2" xfId="3" applyBorder="1" applyAlignment="1">
      <alignment horizontal="left" vertical="center" wrapText="1"/>
    </xf>
    <xf numFmtId="0" fontId="7" fillId="0" borderId="9" xfId="3" applyBorder="1" applyAlignment="1">
      <alignment horizontal="left" vertical="center" wrapText="1"/>
    </xf>
    <xf numFmtId="0" fontId="7" fillId="0" borderId="10" xfId="3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2" xfId="3" applyFont="1" applyBorder="1" applyAlignment="1">
      <alignment horizontal="left" vertical="center" wrapText="1"/>
    </xf>
    <xf numFmtId="0" fontId="46" fillId="0" borderId="9" xfId="3" applyFont="1" applyBorder="1" applyAlignment="1">
      <alignment horizontal="left" vertical="center" wrapText="1"/>
    </xf>
    <xf numFmtId="0" fontId="46" fillId="0" borderId="10" xfId="3" applyFont="1" applyBorder="1" applyAlignment="1">
      <alignment horizontal="left" vertical="center" wrapText="1"/>
    </xf>
    <xf numFmtId="0" fontId="15" fillId="0" borderId="0" xfId="3" applyFont="1" applyAlignment="1">
      <alignment horizontal="center" wrapText="1"/>
    </xf>
    <xf numFmtId="49" fontId="8" fillId="0" borderId="0" xfId="3" applyNumberFormat="1" applyFont="1" applyAlignment="1">
      <alignment horizontal="left"/>
    </xf>
    <xf numFmtId="168" fontId="8" fillId="0" borderId="0" xfId="3" applyNumberFormat="1" applyFont="1" applyAlignment="1">
      <alignment horizontal="center"/>
    </xf>
    <xf numFmtId="0" fontId="47" fillId="0" borderId="29" xfId="3" applyFont="1" applyBorder="1" applyAlignment="1">
      <alignment horizontal="center" vertical="center" wrapText="1"/>
    </xf>
    <xf numFmtId="0" fontId="47" fillId="0" borderId="28" xfId="3" applyFont="1" applyBorder="1" applyAlignment="1">
      <alignment horizontal="center" vertical="center" wrapText="1"/>
    </xf>
    <xf numFmtId="0" fontId="47" fillId="0" borderId="32" xfId="3" applyFont="1" applyBorder="1" applyAlignment="1">
      <alignment horizontal="center" vertical="center" wrapText="1"/>
    </xf>
    <xf numFmtId="170" fontId="11" fillId="0" borderId="29" xfId="3" applyNumberFormat="1" applyFont="1" applyBorder="1" applyAlignment="1">
      <alignment horizontal="center" vertical="center"/>
    </xf>
    <xf numFmtId="170" fontId="11" fillId="0" borderId="28" xfId="3" applyNumberFormat="1" applyFont="1" applyBorder="1" applyAlignment="1">
      <alignment horizontal="center" vertical="center"/>
    </xf>
    <xf numFmtId="170" fontId="11" fillId="0" borderId="27" xfId="3" applyNumberFormat="1" applyFont="1" applyBorder="1" applyAlignment="1">
      <alignment horizontal="center" vertical="center"/>
    </xf>
    <xf numFmtId="0" fontId="47" fillId="0" borderId="2" xfId="3" applyFont="1" applyBorder="1" applyAlignment="1">
      <alignment horizontal="center" vertical="center" wrapText="1"/>
    </xf>
    <xf numFmtId="0" fontId="47" fillId="0" borderId="9" xfId="3" applyFont="1" applyBorder="1" applyAlignment="1">
      <alignment horizontal="center" vertical="center" wrapText="1"/>
    </xf>
    <xf numFmtId="0" fontId="47" fillId="0" borderId="10" xfId="3" applyFont="1" applyBorder="1" applyAlignment="1">
      <alignment horizontal="center" vertical="center" wrapText="1"/>
    </xf>
    <xf numFmtId="170" fontId="11" fillId="0" borderId="2" xfId="3" applyNumberFormat="1" applyFont="1" applyBorder="1" applyAlignment="1">
      <alignment horizontal="center" vertical="center"/>
    </xf>
    <xf numFmtId="170" fontId="11" fillId="0" borderId="9" xfId="3" applyNumberFormat="1" applyFont="1" applyBorder="1" applyAlignment="1">
      <alignment horizontal="center" vertical="center"/>
    </xf>
    <xf numFmtId="170" fontId="11" fillId="0" borderId="24" xfId="3" applyNumberFormat="1" applyFont="1" applyBorder="1" applyAlignment="1">
      <alignment horizontal="center" vertical="center"/>
    </xf>
    <xf numFmtId="0" fontId="8" fillId="0" borderId="33" xfId="3" applyFont="1" applyBorder="1" applyAlignment="1">
      <alignment horizontal="center" vertical="center" wrapText="1"/>
    </xf>
    <xf numFmtId="0" fontId="8" fillId="0" borderId="23" xfId="3" applyFont="1" applyBorder="1" applyAlignment="1">
      <alignment horizontal="center" vertical="center" wrapText="1"/>
    </xf>
    <xf numFmtId="0" fontId="8" fillId="0" borderId="38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wrapText="1"/>
    </xf>
    <xf numFmtId="0" fontId="8" fillId="0" borderId="37" xfId="3" applyFont="1" applyBorder="1" applyAlignment="1">
      <alignment horizontal="center" vertical="center" wrapText="1"/>
    </xf>
    <xf numFmtId="0" fontId="8" fillId="0" borderId="36" xfId="3" applyFont="1" applyBorder="1" applyAlignment="1">
      <alignment horizontal="center" vertical="center" wrapText="1"/>
    </xf>
    <xf numFmtId="0" fontId="8" fillId="0" borderId="35" xfId="3" applyFont="1" applyBorder="1" applyAlignment="1">
      <alignment horizontal="center" vertical="center" wrapText="1"/>
    </xf>
    <xf numFmtId="0" fontId="8" fillId="0" borderId="34" xfId="3" applyFont="1" applyBorder="1" applyAlignment="1">
      <alignment horizontal="center" vertical="center" wrapText="1"/>
    </xf>
    <xf numFmtId="0" fontId="47" fillId="0" borderId="2" xfId="3" applyFont="1" applyBorder="1" applyAlignment="1">
      <alignment horizontal="center" vertical="center"/>
    </xf>
    <xf numFmtId="0" fontId="47" fillId="0" borderId="9" xfId="3" applyFont="1" applyBorder="1" applyAlignment="1">
      <alignment horizontal="center" vertical="center"/>
    </xf>
    <xf numFmtId="0" fontId="47" fillId="0" borderId="10" xfId="3" applyFont="1" applyBorder="1" applyAlignment="1">
      <alignment horizontal="center" vertical="center"/>
    </xf>
    <xf numFmtId="0" fontId="11" fillId="0" borderId="23" xfId="3" applyFont="1" applyBorder="1" applyAlignment="1">
      <alignment horizontal="center" vertical="center"/>
    </xf>
    <xf numFmtId="0" fontId="11" fillId="0" borderId="22" xfId="3" applyFont="1" applyBorder="1" applyAlignment="1">
      <alignment horizontal="center" vertical="center"/>
    </xf>
    <xf numFmtId="170" fontId="8" fillId="0" borderId="21" xfId="3" applyNumberFormat="1" applyFont="1" applyBorder="1" applyAlignment="1">
      <alignment horizontal="center" vertical="center"/>
    </xf>
    <xf numFmtId="170" fontId="8" fillId="0" borderId="20" xfId="3" applyNumberFormat="1" applyFont="1" applyBorder="1" applyAlignment="1">
      <alignment horizontal="center" vertical="center"/>
    </xf>
    <xf numFmtId="170" fontId="8" fillId="0" borderId="19" xfId="3" applyNumberFormat="1" applyFont="1" applyBorder="1" applyAlignment="1">
      <alignment horizontal="center" vertical="center"/>
    </xf>
    <xf numFmtId="0" fontId="11" fillId="0" borderId="10" xfId="3" applyFont="1" applyBorder="1" applyAlignment="1">
      <alignment horizontal="center"/>
    </xf>
    <xf numFmtId="0" fontId="11" fillId="0" borderId="1" xfId="3" applyFont="1" applyBorder="1" applyAlignment="1">
      <alignment horizontal="center"/>
    </xf>
    <xf numFmtId="170" fontId="11" fillId="0" borderId="2" xfId="3" applyNumberFormat="1" applyFont="1" applyBorder="1" applyAlignment="1">
      <alignment horizontal="center"/>
    </xf>
    <xf numFmtId="170" fontId="11" fillId="0" borderId="9" xfId="3" applyNumberFormat="1" applyFont="1" applyBorder="1" applyAlignment="1">
      <alignment horizontal="center"/>
    </xf>
    <xf numFmtId="170" fontId="11" fillId="0" borderId="24" xfId="3" applyNumberFormat="1" applyFont="1" applyBorder="1" applyAlignment="1">
      <alignment horizontal="center"/>
    </xf>
    <xf numFmtId="0" fontId="22" fillId="0" borderId="0" xfId="3" applyFont="1" applyAlignment="1">
      <alignment horizontal="center"/>
    </xf>
    <xf numFmtId="0" fontId="20" fillId="0" borderId="0" xfId="3" applyFont="1" applyAlignment="1">
      <alignment horizontal="center"/>
    </xf>
    <xf numFmtId="0" fontId="16" fillId="0" borderId="9" xfId="3" applyFont="1" applyBorder="1" applyAlignment="1">
      <alignment horizontal="right" vertical="center"/>
    </xf>
    <xf numFmtId="0" fontId="38" fillId="0" borderId="0" xfId="3" applyFont="1" applyAlignment="1">
      <alignment horizontal="center" vertical="center"/>
    </xf>
    <xf numFmtId="0" fontId="38" fillId="0" borderId="14" xfId="3" applyFont="1" applyBorder="1" applyAlignment="1">
      <alignment horizontal="center" vertical="center"/>
    </xf>
    <xf numFmtId="0" fontId="38" fillId="0" borderId="5" xfId="3" applyFont="1" applyBorder="1" applyAlignment="1">
      <alignment horizontal="left" vertical="center"/>
    </xf>
    <xf numFmtId="0" fontId="38" fillId="0" borderId="16" xfId="3" applyFont="1" applyBorder="1" applyAlignment="1">
      <alignment horizontal="left" vertical="center"/>
    </xf>
    <xf numFmtId="0" fontId="38" fillId="0" borderId="12" xfId="3" applyFont="1" applyBorder="1" applyAlignment="1">
      <alignment horizontal="left" vertical="center"/>
    </xf>
    <xf numFmtId="0" fontId="16" fillId="0" borderId="2" xfId="3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0" fontId="29" fillId="0" borderId="16" xfId="3" applyFont="1" applyBorder="1" applyAlignment="1">
      <alignment horizontal="left" vertical="top" wrapText="1" readingOrder="1"/>
    </xf>
    <xf numFmtId="0" fontId="29" fillId="0" borderId="12" xfId="3" applyFont="1" applyBorder="1" applyAlignment="1">
      <alignment horizontal="left" vertical="top" wrapText="1" readingOrder="1"/>
    </xf>
    <xf numFmtId="0" fontId="29" fillId="0" borderId="0" xfId="3" applyFont="1" applyAlignment="1">
      <alignment horizontal="left" vertical="top" wrapText="1" readingOrder="1"/>
    </xf>
    <xf numFmtId="0" fontId="29" fillId="0" borderId="14" xfId="3" applyFont="1" applyBorder="1" applyAlignment="1">
      <alignment horizontal="left" vertical="top" wrapText="1" readingOrder="1"/>
    </xf>
    <xf numFmtId="0" fontId="29" fillId="0" borderId="15" xfId="3" applyFont="1" applyBorder="1" applyAlignment="1">
      <alignment horizontal="left" vertical="top" wrapText="1" readingOrder="1"/>
    </xf>
    <xf numFmtId="0" fontId="29" fillId="0" borderId="13" xfId="3" applyFont="1" applyBorder="1" applyAlignment="1">
      <alignment horizontal="left" vertical="top" wrapText="1" readingOrder="1"/>
    </xf>
    <xf numFmtId="0" fontId="16" fillId="0" borderId="0" xfId="3" applyFont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6" fillId="0" borderId="9" xfId="3" applyFont="1" applyBorder="1" applyAlignment="1">
      <alignment horizontal="center" vertical="center"/>
    </xf>
    <xf numFmtId="0" fontId="16" fillId="0" borderId="5" xfId="3" applyFont="1" applyBorder="1" applyAlignment="1">
      <alignment horizontal="left" vertical="center"/>
    </xf>
    <xf numFmtId="0" fontId="16" fillId="0" borderId="16" xfId="3" applyFont="1" applyBorder="1" applyAlignment="1">
      <alignment horizontal="left" vertical="center"/>
    </xf>
    <xf numFmtId="0" fontId="16" fillId="0" borderId="12" xfId="3" applyFont="1" applyBorder="1" applyAlignment="1">
      <alignment horizontal="left" vertical="center"/>
    </xf>
    <xf numFmtId="0" fontId="16" fillId="0" borderId="8" xfId="3" applyFont="1" applyBorder="1" applyAlignment="1">
      <alignment horizontal="left" vertical="center"/>
    </xf>
    <xf numFmtId="0" fontId="16" fillId="0" borderId="15" xfId="3" applyFont="1" applyBorder="1" applyAlignment="1">
      <alignment horizontal="left" vertical="center"/>
    </xf>
    <xf numFmtId="0" fontId="16" fillId="0" borderId="13" xfId="3" applyFont="1" applyBorder="1" applyAlignment="1">
      <alignment horizontal="left" vertical="center"/>
    </xf>
    <xf numFmtId="0" fontId="42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4" fillId="0" borderId="14" xfId="3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0" fontId="20" fillId="0" borderId="13" xfId="3" applyFont="1" applyBorder="1" applyAlignment="1">
      <alignment horizontal="center" vertical="center"/>
    </xf>
    <xf numFmtId="0" fontId="35" fillId="0" borderId="9" xfId="3" applyFont="1" applyBorder="1" applyAlignment="1">
      <alignment horizontal="right" vertical="center"/>
    </xf>
    <xf numFmtId="0" fontId="42" fillId="0" borderId="16" xfId="3" applyFont="1" applyBorder="1" applyAlignment="1">
      <alignment horizontal="center" vertical="center"/>
    </xf>
    <xf numFmtId="0" fontId="23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20" fillId="0" borderId="1" xfId="3" applyFont="1" applyBorder="1" applyAlignment="1">
      <alignment horizontal="center"/>
    </xf>
    <xf numFmtId="0" fontId="20" fillId="0" borderId="3" xfId="3" applyFont="1" applyBorder="1" applyAlignment="1">
      <alignment horizontal="center" vertical="center"/>
    </xf>
    <xf numFmtId="0" fontId="20" fillId="0" borderId="7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0" fontId="7" fillId="0" borderId="0" xfId="3" applyFont="1" applyAlignment="1">
      <alignment horizontal="center"/>
    </xf>
    <xf numFmtId="0" fontId="17" fillId="0" borderId="0" xfId="3" applyFont="1" applyAlignment="1">
      <alignment horizontal="center"/>
    </xf>
    <xf numFmtId="0" fontId="20" fillId="0" borderId="2" xfId="3" applyFont="1" applyBorder="1" applyAlignment="1">
      <alignment horizontal="center"/>
    </xf>
    <xf numFmtId="0" fontId="20" fillId="0" borderId="10" xfId="3" applyFont="1" applyBorder="1" applyAlignment="1">
      <alignment horizontal="center"/>
    </xf>
    <xf numFmtId="15" fontId="17" fillId="0" borderId="0" xfId="3" applyNumberFormat="1" applyFont="1" applyAlignment="1">
      <alignment horizontal="center"/>
    </xf>
    <xf numFmtId="0" fontId="7" fillId="0" borderId="0" xfId="3" applyFont="1" applyAlignment="1">
      <alignment horizontal="left" vertical="top" wrapText="1"/>
    </xf>
    <xf numFmtId="165" fontId="9" fillId="0" borderId="0" xfId="3" quotePrefix="1" applyNumberFormat="1" applyFont="1" applyAlignment="1">
      <alignment horizontal="left" vertical="center" wrapText="1"/>
    </xf>
    <xf numFmtId="165" fontId="9" fillId="0" borderId="0" xfId="3" applyNumberFormat="1" applyFont="1" applyAlignment="1">
      <alignment horizontal="left" vertical="center" wrapText="1"/>
    </xf>
    <xf numFmtId="0" fontId="7" fillId="0" borderId="55" xfId="3" applyFont="1" applyBorder="1" applyAlignment="1">
      <alignment horizontal="center" vertical="center"/>
    </xf>
    <xf numFmtId="0" fontId="7" fillId="0" borderId="52" xfId="3" applyFont="1" applyBorder="1" applyAlignment="1">
      <alignment horizontal="center" vertical="center"/>
    </xf>
    <xf numFmtId="0" fontId="9" fillId="0" borderId="54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54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0" fontId="9" fillId="0" borderId="10" xfId="3" applyFont="1" applyBorder="1" applyAlignment="1">
      <alignment horizontal="center"/>
    </xf>
    <xf numFmtId="0" fontId="7" fillId="0" borderId="0" xfId="3" applyFont="1" applyAlignment="1">
      <alignment horizontal="center" vertical="center"/>
    </xf>
    <xf numFmtId="17" fontId="7" fillId="0" borderId="0" xfId="3" applyNumberFormat="1" applyFont="1" applyAlignment="1">
      <alignment horizontal="left" vertical="center" wrapText="1"/>
    </xf>
    <xf numFmtId="165" fontId="7" fillId="0" borderId="0" xfId="3" applyNumberFormat="1" applyFont="1" applyAlignment="1">
      <alignment horizontal="left" vertical="center" wrapText="1"/>
    </xf>
    <xf numFmtId="164" fontId="9" fillId="20" borderId="56" xfId="3" applyNumberFormat="1" applyFont="1" applyFill="1" applyBorder="1" applyAlignment="1">
      <alignment horizontal="center"/>
    </xf>
    <xf numFmtId="164" fontId="9" fillId="20" borderId="57" xfId="3" applyNumberFormat="1" applyFont="1" applyFill="1" applyBorder="1" applyAlignment="1">
      <alignment horizontal="center"/>
    </xf>
    <xf numFmtId="164" fontId="9" fillId="19" borderId="56" xfId="3" applyNumberFormat="1" applyFont="1" applyFill="1" applyBorder="1" applyAlignment="1">
      <alignment horizontal="center" vertical="center" wrapText="1"/>
    </xf>
    <xf numFmtId="164" fontId="9" fillId="19" borderId="57" xfId="3" applyNumberFormat="1" applyFont="1" applyFill="1" applyBorder="1" applyAlignment="1">
      <alignment horizontal="center" vertical="center" wrapText="1"/>
    </xf>
    <xf numFmtId="164" fontId="7" fillId="0" borderId="16" xfId="3" applyNumberFormat="1" applyFont="1" applyBorder="1" applyAlignment="1">
      <alignment horizontal="center"/>
    </xf>
    <xf numFmtId="164" fontId="7" fillId="0" borderId="0" xfId="3" applyNumberFormat="1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7" fillId="0" borderId="10" xfId="3" applyFont="1" applyBorder="1" applyAlignment="1">
      <alignment horizontal="center"/>
    </xf>
    <xf numFmtId="164" fontId="9" fillId="0" borderId="2" xfId="3" applyNumberFormat="1" applyFont="1" applyBorder="1" applyAlignment="1">
      <alignment horizontal="center"/>
    </xf>
    <xf numFmtId="164" fontId="9" fillId="0" borderId="10" xfId="3" applyNumberFormat="1" applyFont="1" applyBorder="1" applyAlignment="1">
      <alignment horizontal="center"/>
    </xf>
    <xf numFmtId="164" fontId="7" fillId="0" borderId="2" xfId="3" applyNumberFormat="1" applyFont="1" applyBorder="1" applyAlignment="1">
      <alignment horizontal="center"/>
    </xf>
    <xf numFmtId="164" fontId="7" fillId="0" borderId="10" xfId="3" applyNumberFormat="1" applyFont="1" applyBorder="1" applyAlignment="1">
      <alignment horizontal="center"/>
    </xf>
    <xf numFmtId="164" fontId="7" fillId="0" borderId="58" xfId="3" applyNumberFormat="1" applyFont="1" applyBorder="1" applyAlignment="1">
      <alignment horizontal="center"/>
    </xf>
    <xf numFmtId="164" fontId="7" fillId="0" borderId="59" xfId="3" applyNumberFormat="1" applyFont="1" applyBorder="1" applyAlignment="1">
      <alignment horizontal="center"/>
    </xf>
    <xf numFmtId="164" fontId="9" fillId="19" borderId="56" xfId="3" applyNumberFormat="1" applyFont="1" applyFill="1" applyBorder="1" applyAlignment="1">
      <alignment horizontal="center"/>
    </xf>
    <xf numFmtId="164" fontId="9" fillId="19" borderId="57" xfId="3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0" fontId="19" fillId="0" borderId="8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19" fillId="0" borderId="7" xfId="3" applyFont="1" applyBorder="1" applyAlignment="1">
      <alignment horizontal="center" vertical="center"/>
    </xf>
    <xf numFmtId="0" fontId="19" fillId="0" borderId="16" xfId="3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textRotation="90" wrapText="1"/>
    </xf>
    <xf numFmtId="0" fontId="5" fillId="9" borderId="2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7" fontId="8" fillId="0" borderId="0" xfId="3" quotePrefix="1" applyNumberFormat="1" applyFont="1"/>
  </cellXfs>
  <cellStyles count="4">
    <cellStyle name="Comma" xfId="1" builtinId="3"/>
    <cellStyle name="Comma [0]" xfId="2" builtinId="6"/>
    <cellStyle name="Normal" xfId="0" builtinId="0"/>
    <cellStyle name="Normal 2" xfId="3" xr:uid="{BB4F4D65-74B2-4DD8-B134-3FAFCE3D38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igun\AppData\Roaming\Microsoft\AddIns\terbilang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10%20SPP%20GAJI%20BLN%20MARET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nual%20Gaji%20PPPK%20Februa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erbilang"/>
    </sheetNames>
    <definedNames>
      <definedName name="terbilang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3"/>
      <sheetName val="SPP2"/>
      <sheetName val="PERBEDAAN"/>
      <sheetName val="JML. PEG"/>
      <sheetName val="RINCIAN"/>
      <sheetName val="SPM"/>
      <sheetName val="KUNCI"/>
    </sheetNames>
    <sheetDataSet>
      <sheetData sheetId="0"/>
      <sheetData sheetId="1"/>
      <sheetData sheetId="2"/>
      <sheetData sheetId="3"/>
      <sheetData sheetId="4">
        <row r="40">
          <cell r="B40" t="str">
            <v>DEWI ASMARANI H., A.Md</v>
          </cell>
        </row>
        <row r="41">
          <cell r="B41" t="str">
            <v>NIP. 19930702 202012 2 010</v>
          </cell>
        </row>
      </sheetData>
      <sheetData sheetId="5"/>
      <sheetData sheetId="6"/>
      <sheetData sheetId="7">
        <row r="4">
          <cell r="E4">
            <v>0</v>
          </cell>
          <cell r="F4">
            <v>0</v>
          </cell>
          <cell r="I4">
            <v>0</v>
          </cell>
          <cell r="J4">
            <v>0</v>
          </cell>
          <cell r="M4">
            <v>0</v>
          </cell>
          <cell r="N4">
            <v>0</v>
          </cell>
          <cell r="Q4">
            <v>0</v>
          </cell>
          <cell r="AC4">
            <v>0</v>
          </cell>
        </row>
        <row r="5">
          <cell r="Q5">
            <v>0</v>
          </cell>
          <cell r="AC5">
            <v>0</v>
          </cell>
        </row>
        <row r="6">
          <cell r="AC6">
            <v>0</v>
          </cell>
        </row>
        <row r="7">
          <cell r="AC7">
            <v>0</v>
          </cell>
        </row>
        <row r="8">
          <cell r="H8">
            <v>59506800</v>
          </cell>
          <cell r="K8">
            <v>5647280</v>
          </cell>
          <cell r="L8">
            <v>1080000</v>
          </cell>
          <cell r="N8">
            <v>5920000</v>
          </cell>
          <cell r="Q8">
            <v>172487</v>
          </cell>
          <cell r="S8">
            <v>547</v>
          </cell>
          <cell r="W8">
            <v>3041640</v>
          </cell>
          <cell r="AC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P1"/>
      <sheetName val="SPP2"/>
      <sheetName val="SPP3"/>
      <sheetName val="SPM"/>
      <sheetName val="PERBEDAAN"/>
      <sheetName val="RINCIAN"/>
      <sheetName val="JML. PEG"/>
      <sheetName val="KUNCI"/>
      <sheetName val="ENTRI DATA"/>
      <sheetName val="DATA UMUM"/>
    </sheetNames>
    <sheetDataSet>
      <sheetData sheetId="0"/>
      <sheetData sheetId="1"/>
      <sheetData sheetId="2"/>
      <sheetData sheetId="3"/>
      <sheetData sheetId="4">
        <row r="17">
          <cell r="I17">
            <v>2</v>
          </cell>
          <cell r="J17">
            <v>2</v>
          </cell>
          <cell r="K17">
            <v>3</v>
          </cell>
          <cell r="M17">
            <v>7677909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1A47-F36C-42A6-B4C9-2FC1456722EF}">
  <sheetPr>
    <tabColor rgb="FFFF0000"/>
  </sheetPr>
  <dimension ref="A1:N43"/>
  <sheetViews>
    <sheetView topLeftCell="A23" zoomScaleSheetLayoutView="100" workbookViewId="0">
      <selection activeCell="G36" sqref="G36"/>
    </sheetView>
  </sheetViews>
  <sheetFormatPr defaultColWidth="9.1796875" defaultRowHeight="15" customHeight="1" x14ac:dyDescent="0.25"/>
  <cols>
    <col min="1" max="1" width="2.81640625" style="122" customWidth="1"/>
    <col min="2" max="2" width="9.1796875" style="122" customWidth="1"/>
    <col min="3" max="3" width="7.81640625" style="122" customWidth="1"/>
    <col min="4" max="4" width="12.7265625" style="122" customWidth="1"/>
    <col min="5" max="5" width="10.26953125" style="122" customWidth="1"/>
    <col min="6" max="6" width="2.7265625" style="122" customWidth="1"/>
    <col min="7" max="7" width="9" style="122" customWidth="1"/>
    <col min="8" max="8" width="8.7265625" style="122" customWidth="1"/>
    <col min="9" max="9" width="4.54296875" style="122" customWidth="1"/>
    <col min="10" max="10" width="22" style="122" customWidth="1"/>
    <col min="11" max="11" width="4" style="122" customWidth="1"/>
    <col min="12" max="13" width="9.1796875" style="122"/>
    <col min="14" max="14" width="19.26953125" style="122" customWidth="1"/>
    <col min="15" max="16384" width="9.1796875" style="122"/>
  </cols>
  <sheetData>
    <row r="1" spans="1:10" ht="15" customHeight="1" x14ac:dyDescent="0.3">
      <c r="A1" s="328" t="s">
        <v>229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15" customHeight="1" x14ac:dyDescent="0.3">
      <c r="A2" s="328" t="s">
        <v>228</v>
      </c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5" customHeight="1" x14ac:dyDescent="0.3">
      <c r="A3" s="328" t="s">
        <v>227</v>
      </c>
      <c r="B3" s="328"/>
      <c r="C3" s="328"/>
      <c r="D3" s="328"/>
      <c r="E3" s="328"/>
      <c r="F3" s="328"/>
      <c r="G3" s="328"/>
      <c r="H3" s="328"/>
      <c r="I3" s="328"/>
      <c r="J3" s="328"/>
    </row>
    <row r="4" spans="1:10" ht="15" customHeight="1" x14ac:dyDescent="0.3">
      <c r="A4" s="328" t="s">
        <v>226</v>
      </c>
      <c r="B4" s="328"/>
      <c r="C4" s="328"/>
      <c r="D4" s="328"/>
      <c r="E4" s="328"/>
      <c r="F4" s="328"/>
      <c r="G4" s="328"/>
      <c r="H4" s="328"/>
      <c r="I4" s="328"/>
      <c r="J4" s="328"/>
    </row>
    <row r="5" spans="1:10" ht="15" customHeight="1" x14ac:dyDescent="0.3">
      <c r="A5" s="329" t="s">
        <v>225</v>
      </c>
      <c r="B5" s="329"/>
      <c r="C5" s="329"/>
      <c r="D5" s="329"/>
      <c r="E5" s="329"/>
      <c r="F5" s="329"/>
      <c r="G5" s="329"/>
      <c r="H5" s="329"/>
      <c r="I5" s="329"/>
      <c r="J5" s="329"/>
    </row>
    <row r="6" spans="1:10" ht="15" customHeight="1" x14ac:dyDescent="0.3">
      <c r="A6" s="44" t="s">
        <v>224</v>
      </c>
      <c r="B6" s="44"/>
      <c r="C6" s="44"/>
      <c r="D6" s="44"/>
      <c r="E6" s="44"/>
      <c r="F6" s="44"/>
      <c r="G6" s="44"/>
      <c r="H6" s="44"/>
      <c r="I6" s="44"/>
      <c r="J6" s="44"/>
    </row>
    <row r="7" spans="1:10" ht="15" customHeight="1" x14ac:dyDescent="0.3">
      <c r="A7" s="328" t="s">
        <v>223</v>
      </c>
      <c r="B7" s="328"/>
      <c r="C7" s="328"/>
      <c r="D7" s="328"/>
      <c r="E7" s="328"/>
      <c r="F7" s="328"/>
      <c r="G7" s="328"/>
      <c r="H7" s="328"/>
      <c r="I7" s="328"/>
      <c r="J7" s="328"/>
    </row>
    <row r="9" spans="1:10" ht="15" customHeight="1" x14ac:dyDescent="0.25">
      <c r="A9" s="122" t="s">
        <v>222</v>
      </c>
    </row>
    <row r="10" spans="1:10" ht="15" customHeight="1" x14ac:dyDescent="0.25">
      <c r="A10" s="122" t="s">
        <v>221</v>
      </c>
    </row>
    <row r="11" spans="1:10" ht="15" customHeight="1" x14ac:dyDescent="0.25">
      <c r="A11" s="122" t="s">
        <v>220</v>
      </c>
    </row>
    <row r="13" spans="1:10" ht="15" customHeight="1" x14ac:dyDescent="0.25">
      <c r="A13" s="122" t="s">
        <v>219</v>
      </c>
    </row>
    <row r="14" spans="1:10" ht="15" customHeight="1" x14ac:dyDescent="0.3">
      <c r="B14" s="324" t="s">
        <v>218</v>
      </c>
      <c r="C14" s="324"/>
    </row>
    <row r="16" spans="1:10" ht="47.25" customHeight="1" x14ac:dyDescent="0.25">
      <c r="A16" s="326" t="s">
        <v>217</v>
      </c>
      <c r="B16" s="326"/>
      <c r="C16" s="326"/>
      <c r="D16" s="326"/>
      <c r="E16" s="326"/>
      <c r="F16" s="326"/>
      <c r="G16" s="326"/>
      <c r="H16" s="326"/>
      <c r="I16" s="326"/>
      <c r="J16" s="326"/>
    </row>
    <row r="17" spans="1:14" ht="12" customHeight="1" x14ac:dyDescent="0.25"/>
    <row r="18" spans="1:14" ht="28.5" customHeight="1" x14ac:dyDescent="0.25">
      <c r="A18" s="221" t="s">
        <v>216</v>
      </c>
      <c r="B18" s="220" t="s">
        <v>215</v>
      </c>
      <c r="C18" s="220"/>
      <c r="D18" s="220"/>
      <c r="E18" s="330" t="s">
        <v>214</v>
      </c>
      <c r="F18" s="330"/>
      <c r="G18" s="330"/>
      <c r="H18" s="330"/>
      <c r="I18" s="330"/>
      <c r="J18" s="330"/>
    </row>
    <row r="19" spans="1:14" ht="15" customHeight="1" x14ac:dyDescent="0.25">
      <c r="A19" s="42" t="s">
        <v>213</v>
      </c>
      <c r="B19" s="122" t="s">
        <v>212</v>
      </c>
      <c r="E19" s="122" t="s">
        <v>211</v>
      </c>
    </row>
    <row r="20" spans="1:14" ht="15" customHeight="1" x14ac:dyDescent="0.25">
      <c r="A20" s="42" t="s">
        <v>210</v>
      </c>
      <c r="B20" s="122" t="s">
        <v>209</v>
      </c>
      <c r="E20" s="334" t="s">
        <v>208</v>
      </c>
      <c r="F20" s="334"/>
      <c r="G20" s="334"/>
    </row>
    <row r="21" spans="1:14" ht="15" customHeight="1" x14ac:dyDescent="0.25">
      <c r="A21" s="42" t="s">
        <v>207</v>
      </c>
      <c r="B21" s="122" t="s">
        <v>206</v>
      </c>
      <c r="E21" s="219" t="s">
        <v>205</v>
      </c>
    </row>
    <row r="22" spans="1:14" ht="15" customHeight="1" x14ac:dyDescent="0.25">
      <c r="A22" s="42"/>
      <c r="E22" s="122" t="s">
        <v>131</v>
      </c>
    </row>
    <row r="23" spans="1:14" ht="15" customHeight="1" x14ac:dyDescent="0.25">
      <c r="A23" s="42"/>
      <c r="E23" s="122" t="s">
        <v>131</v>
      </c>
    </row>
    <row r="24" spans="1:14" ht="15" customHeight="1" x14ac:dyDescent="0.25">
      <c r="A24" s="42" t="s">
        <v>204</v>
      </c>
      <c r="B24" s="122" t="s">
        <v>203</v>
      </c>
      <c r="E24" s="325">
        <f>'SPP2'!J10</f>
        <v>2477569814</v>
      </c>
      <c r="F24" s="325"/>
      <c r="G24" s="325"/>
    </row>
    <row r="25" spans="1:14" ht="29.25" customHeight="1" x14ac:dyDescent="0.25">
      <c r="A25" s="218"/>
      <c r="B25" s="331" t="e" cm="1">
        <f t="array" aca="1" ref="B25" ca="1">PROPER([1]!terbilang(terss)&amp;" rupiah")</f>
        <v>#NAME?</v>
      </c>
      <c r="C25" s="332"/>
      <c r="D25" s="332"/>
      <c r="E25" s="332"/>
      <c r="F25" s="332"/>
      <c r="G25" s="332"/>
      <c r="H25" s="332"/>
      <c r="I25" s="332"/>
      <c r="J25" s="333"/>
    </row>
    <row r="26" spans="1:14" ht="15" customHeight="1" x14ac:dyDescent="0.3">
      <c r="A26" s="42" t="s">
        <v>202</v>
      </c>
      <c r="B26" s="122" t="s">
        <v>201</v>
      </c>
      <c r="E26" s="503" t="s">
        <v>340</v>
      </c>
      <c r="F26" s="44"/>
      <c r="G26" s="44"/>
    </row>
    <row r="27" spans="1:14" ht="15" customHeight="1" x14ac:dyDescent="0.25">
      <c r="A27" s="42" t="s">
        <v>200</v>
      </c>
      <c r="B27" s="122" t="s">
        <v>199</v>
      </c>
      <c r="E27" s="122" t="s">
        <v>198</v>
      </c>
    </row>
    <row r="28" spans="1:14" ht="15" customHeight="1" x14ac:dyDescent="0.3">
      <c r="A28" s="42"/>
      <c r="B28" s="122" t="s">
        <v>197</v>
      </c>
      <c r="E28" s="76" t="s">
        <v>272</v>
      </c>
    </row>
    <row r="29" spans="1:14" ht="15" customHeight="1" x14ac:dyDescent="0.25">
      <c r="A29" s="42" t="s">
        <v>196</v>
      </c>
      <c r="B29" s="122" t="s">
        <v>195</v>
      </c>
      <c r="E29" s="335">
        <f>SPM!L30</f>
        <v>6967909</v>
      </c>
      <c r="F29" s="335"/>
      <c r="G29" s="335"/>
      <c r="N29" s="217"/>
    </row>
    <row r="30" spans="1:14" ht="15" customHeight="1" x14ac:dyDescent="0.25">
      <c r="A30" s="216"/>
      <c r="B30" s="336" t="e" cm="1">
        <f t="array" aca="1" ref="B30" ca="1">PROPER([1]!terbilang(jml_diminta)&amp;" rupiah")</f>
        <v>#NAME?</v>
      </c>
      <c r="C30" s="337"/>
      <c r="D30" s="337"/>
      <c r="E30" s="337"/>
      <c r="F30" s="337"/>
      <c r="G30" s="337"/>
      <c r="H30" s="337"/>
      <c r="I30" s="337"/>
      <c r="J30" s="338"/>
    </row>
    <row r="31" spans="1:14" ht="15" customHeight="1" x14ac:dyDescent="0.25">
      <c r="A31" s="216"/>
      <c r="B31" s="339"/>
      <c r="C31" s="340"/>
      <c r="D31" s="340"/>
      <c r="E31" s="340"/>
      <c r="F31" s="340"/>
      <c r="G31" s="340"/>
      <c r="H31" s="340"/>
      <c r="I31" s="340"/>
      <c r="J31" s="341"/>
    </row>
    <row r="32" spans="1:14" ht="15" customHeight="1" x14ac:dyDescent="0.25">
      <c r="A32" s="42" t="s">
        <v>194</v>
      </c>
      <c r="B32" s="122" t="s">
        <v>193</v>
      </c>
      <c r="E32" s="122" t="s">
        <v>192</v>
      </c>
      <c r="H32" s="342">
        <v>1023000364</v>
      </c>
      <c r="I32" s="342"/>
    </row>
    <row r="35" spans="2:10" ht="15" customHeight="1" x14ac:dyDescent="0.25">
      <c r="G35" s="327" t="s">
        <v>341</v>
      </c>
      <c r="H35" s="327"/>
      <c r="I35" s="327"/>
      <c r="J35" s="327"/>
    </row>
    <row r="37" spans="2:10" ht="15" customHeight="1" x14ac:dyDescent="0.25">
      <c r="G37" s="327" t="s">
        <v>57</v>
      </c>
      <c r="H37" s="327"/>
      <c r="I37" s="327"/>
      <c r="J37" s="327"/>
    </row>
    <row r="38" spans="2:10" ht="15" customHeight="1" x14ac:dyDescent="0.25">
      <c r="B38" s="327" t="s">
        <v>191</v>
      </c>
      <c r="C38" s="327"/>
      <c r="D38" s="327"/>
      <c r="E38" s="327"/>
      <c r="G38" s="327" t="s">
        <v>190</v>
      </c>
      <c r="H38" s="327"/>
      <c r="I38" s="327"/>
      <c r="J38" s="327"/>
    </row>
    <row r="42" spans="2:10" ht="15" customHeight="1" x14ac:dyDescent="0.3">
      <c r="B42" s="324" t="s">
        <v>84</v>
      </c>
      <c r="C42" s="324"/>
      <c r="D42" s="324"/>
      <c r="E42" s="324"/>
      <c r="G42" s="324" t="s">
        <v>79</v>
      </c>
      <c r="H42" s="324"/>
      <c r="I42" s="324"/>
      <c r="J42" s="324"/>
    </row>
    <row r="43" spans="2:10" ht="15" customHeight="1" x14ac:dyDescent="0.25">
      <c r="B43" s="327" t="s">
        <v>85</v>
      </c>
      <c r="C43" s="327"/>
      <c r="D43" s="327"/>
      <c r="E43" s="327"/>
      <c r="G43" s="327" t="s">
        <v>189</v>
      </c>
      <c r="H43" s="327"/>
      <c r="I43" s="327"/>
      <c r="J43" s="327"/>
    </row>
  </sheetData>
  <mergeCells count="23">
    <mergeCell ref="B43:E43"/>
    <mergeCell ref="G43:J43"/>
    <mergeCell ref="E29:G29"/>
    <mergeCell ref="B38:E38"/>
    <mergeCell ref="G38:J38"/>
    <mergeCell ref="B42:E42"/>
    <mergeCell ref="G42:J42"/>
    <mergeCell ref="G37:J37"/>
    <mergeCell ref="B30:J31"/>
    <mergeCell ref="H32:I32"/>
    <mergeCell ref="B14:C14"/>
    <mergeCell ref="E24:G24"/>
    <mergeCell ref="A16:J16"/>
    <mergeCell ref="G35:J35"/>
    <mergeCell ref="A1:J1"/>
    <mergeCell ref="A2:J2"/>
    <mergeCell ref="A3:J3"/>
    <mergeCell ref="A4:J4"/>
    <mergeCell ref="A5:J5"/>
    <mergeCell ref="A7:J7"/>
    <mergeCell ref="E18:J18"/>
    <mergeCell ref="B25:J25"/>
    <mergeCell ref="E20:G20"/>
  </mergeCells>
  <pageMargins left="0.78" right="0.59055118110236227" top="0.78740157480314965" bottom="0.78740157480314965" header="0.51181102362204722" footer="0.51181102362204722"/>
  <pageSetup paperSize="5" scale="94" orientation="portrait" horizontalDpi="4294967293" verticalDpi="180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BE10-0AD1-410A-9E9F-0031726FEB85}">
  <sheetPr>
    <tabColor theme="1" tint="0.14999847407452621"/>
  </sheetPr>
  <dimension ref="A1:P40"/>
  <sheetViews>
    <sheetView topLeftCell="A10" zoomScaleSheetLayoutView="100" workbookViewId="0">
      <selection activeCell="E35" sqref="E35"/>
    </sheetView>
  </sheetViews>
  <sheetFormatPr defaultColWidth="9.1796875" defaultRowHeight="15" customHeight="1" x14ac:dyDescent="0.25"/>
  <cols>
    <col min="1" max="1" width="4.7265625" style="122" customWidth="1"/>
    <col min="2" max="3" width="9.1796875" style="122"/>
    <col min="4" max="4" width="9" style="122" customWidth="1"/>
    <col min="5" max="5" width="9.7265625" style="122" customWidth="1"/>
    <col min="6" max="6" width="23.7265625" style="122" hidden="1" customWidth="1"/>
    <col min="7" max="7" width="14.54296875" style="122" hidden="1" customWidth="1"/>
    <col min="8" max="8" width="14.54296875" style="122" customWidth="1"/>
    <col min="9" max="9" width="3.7265625" style="122" customWidth="1"/>
    <col min="10" max="10" width="17.54296875" style="122" customWidth="1"/>
    <col min="11" max="11" width="7.1796875" style="122" customWidth="1"/>
    <col min="12" max="12" width="3" style="122" customWidth="1"/>
    <col min="13" max="13" width="9.1796875" style="122"/>
    <col min="14" max="14" width="16.453125" style="122" customWidth="1"/>
    <col min="15" max="15" width="9.1796875" style="122"/>
    <col min="16" max="16" width="19" style="122" customWidth="1"/>
    <col min="17" max="16384" width="9.1796875" style="122"/>
  </cols>
  <sheetData>
    <row r="1" spans="1:16" ht="15" customHeight="1" x14ac:dyDescent="0.3">
      <c r="A1" s="328" t="s">
        <v>257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</row>
    <row r="2" spans="1:16" ht="15.75" customHeight="1" x14ac:dyDescent="0.3">
      <c r="A2" s="328" t="s">
        <v>228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</row>
    <row r="3" spans="1:16" ht="14.25" customHeight="1" x14ac:dyDescent="0.3">
      <c r="A3" s="328" t="s">
        <v>227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</row>
    <row r="4" spans="1:16" ht="14.25" customHeight="1" x14ac:dyDescent="0.3">
      <c r="A4" s="328" t="s">
        <v>256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</row>
    <row r="5" spans="1:16" ht="14.25" customHeight="1" x14ac:dyDescent="0.3">
      <c r="A5" s="328" t="str">
        <f>'SPP1'!A5</f>
        <v xml:space="preserve">                                                Nomor :  </v>
      </c>
      <c r="B5" s="328"/>
      <c r="C5" s="328"/>
      <c r="D5" s="328"/>
      <c r="E5" s="328"/>
      <c r="F5" s="328"/>
      <c r="G5" s="328"/>
      <c r="H5" s="328"/>
      <c r="I5" s="328"/>
      <c r="J5" s="328"/>
      <c r="K5" s="328"/>
    </row>
    <row r="6" spans="1:16" ht="14.25" customHeight="1" x14ac:dyDescent="0.3">
      <c r="A6" s="44" t="s">
        <v>255</v>
      </c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6" ht="14.25" customHeight="1" x14ac:dyDescent="0.3">
      <c r="A7" s="328" t="s">
        <v>254</v>
      </c>
      <c r="B7" s="328"/>
      <c r="C7" s="328"/>
      <c r="D7" s="328"/>
      <c r="E7" s="328"/>
      <c r="F7" s="328"/>
      <c r="G7" s="328"/>
      <c r="H7" s="328"/>
      <c r="I7" s="328"/>
      <c r="J7" s="328"/>
      <c r="K7" s="328"/>
    </row>
    <row r="8" spans="1:16" ht="14.25" customHeight="1" x14ac:dyDescent="0.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</row>
    <row r="9" spans="1:16" ht="14.25" customHeight="1" x14ac:dyDescent="0.25">
      <c r="A9" s="343" t="s">
        <v>253</v>
      </c>
      <c r="B9" s="343"/>
      <c r="C9" s="343"/>
      <c r="D9" s="343"/>
      <c r="E9" s="343"/>
      <c r="F9" s="343"/>
      <c r="G9" s="343"/>
      <c r="H9" s="343"/>
      <c r="I9" s="343"/>
      <c r="J9" s="343"/>
      <c r="K9" s="343"/>
    </row>
    <row r="10" spans="1:16" ht="14.25" customHeight="1" x14ac:dyDescent="0.25">
      <c r="A10" s="344" t="s">
        <v>252</v>
      </c>
      <c r="B10" s="345"/>
      <c r="C10" s="345"/>
      <c r="D10" s="345"/>
      <c r="E10" s="345"/>
      <c r="F10" s="345"/>
      <c r="G10" s="345"/>
      <c r="H10" s="346"/>
      <c r="I10" s="232" t="s">
        <v>231</v>
      </c>
      <c r="J10" s="242">
        <v>2477569814</v>
      </c>
      <c r="K10" s="230" t="s">
        <v>13</v>
      </c>
    </row>
    <row r="11" spans="1:16" ht="14.25" customHeight="1" x14ac:dyDescent="0.25">
      <c r="A11" s="343" t="s">
        <v>251</v>
      </c>
      <c r="B11" s="343"/>
      <c r="C11" s="343"/>
      <c r="D11" s="343"/>
      <c r="E11" s="343"/>
      <c r="F11" s="343"/>
      <c r="G11" s="343"/>
      <c r="H11" s="343"/>
      <c r="I11" s="343"/>
      <c r="J11" s="343"/>
      <c r="K11" s="343"/>
    </row>
    <row r="12" spans="1:16" ht="24" customHeight="1" x14ac:dyDescent="0.25">
      <c r="A12" s="241" t="s">
        <v>250</v>
      </c>
      <c r="B12" s="343" t="s">
        <v>249</v>
      </c>
      <c r="C12" s="343"/>
      <c r="D12" s="343"/>
      <c r="E12" s="343"/>
      <c r="F12" s="343" t="s">
        <v>248</v>
      </c>
      <c r="G12" s="343"/>
      <c r="H12" s="343"/>
      <c r="I12" s="343" t="s">
        <v>247</v>
      </c>
      <c r="J12" s="343"/>
      <c r="K12" s="343"/>
    </row>
    <row r="13" spans="1:16" ht="21" customHeight="1" x14ac:dyDescent="0.25">
      <c r="A13" s="239" t="s">
        <v>166</v>
      </c>
      <c r="B13" s="349" t="s">
        <v>246</v>
      </c>
      <c r="C13" s="350"/>
      <c r="D13" s="350"/>
      <c r="E13" s="351"/>
      <c r="F13" s="347">
        <v>45280</v>
      </c>
      <c r="G13" s="348"/>
      <c r="H13" s="348"/>
      <c r="I13" s="232" t="s">
        <v>231</v>
      </c>
      <c r="J13" s="234">
        <v>73463154</v>
      </c>
      <c r="K13" s="230"/>
      <c r="P13" s="226"/>
    </row>
    <row r="14" spans="1:16" ht="15" customHeight="1" x14ac:dyDescent="0.25">
      <c r="A14" s="239" t="s">
        <v>163</v>
      </c>
      <c r="B14" s="349" t="s">
        <v>245</v>
      </c>
      <c r="C14" s="350"/>
      <c r="D14" s="350"/>
      <c r="E14" s="351"/>
      <c r="F14" s="347">
        <v>45314</v>
      </c>
      <c r="G14" s="348"/>
      <c r="H14" s="348"/>
      <c r="I14" s="232" t="s">
        <v>231</v>
      </c>
      <c r="J14" s="234">
        <v>73702390</v>
      </c>
      <c r="K14" s="230"/>
      <c r="P14" s="226"/>
    </row>
    <row r="15" spans="1:16" ht="15" customHeight="1" x14ac:dyDescent="0.3">
      <c r="A15" s="239" t="s">
        <v>244</v>
      </c>
      <c r="B15" s="349" t="s">
        <v>243</v>
      </c>
      <c r="C15" s="350"/>
      <c r="D15" s="350"/>
      <c r="E15" s="351"/>
      <c r="F15" s="347">
        <v>45344</v>
      </c>
      <c r="G15" s="348"/>
      <c r="H15" s="348"/>
      <c r="I15" s="232" t="s">
        <v>231</v>
      </c>
      <c r="J15" s="234">
        <v>79210549</v>
      </c>
      <c r="K15" s="230"/>
      <c r="N15" s="226"/>
      <c r="P15" s="240"/>
    </row>
    <row r="16" spans="1:16" ht="15" customHeight="1" x14ac:dyDescent="0.25">
      <c r="A16" s="239" t="s">
        <v>242</v>
      </c>
      <c r="B16" s="349"/>
      <c r="C16" s="350"/>
      <c r="D16" s="350"/>
      <c r="E16" s="351"/>
      <c r="F16" s="349"/>
      <c r="G16" s="350"/>
      <c r="H16" s="351"/>
      <c r="I16" s="232"/>
      <c r="J16" s="236"/>
      <c r="K16" s="230"/>
      <c r="P16" s="226"/>
    </row>
    <row r="17" spans="1:16" ht="15" customHeight="1" x14ac:dyDescent="0.25">
      <c r="A17" s="239" t="s">
        <v>241</v>
      </c>
      <c r="B17" s="349"/>
      <c r="C17" s="350"/>
      <c r="D17" s="350"/>
      <c r="E17" s="351"/>
      <c r="F17" s="349"/>
      <c r="G17" s="350"/>
      <c r="H17" s="351"/>
      <c r="I17" s="232"/>
      <c r="J17" s="236"/>
      <c r="K17" s="230"/>
      <c r="P17" s="226"/>
    </row>
    <row r="18" spans="1:16" ht="15" customHeight="1" x14ac:dyDescent="0.25">
      <c r="A18" s="239" t="s">
        <v>240</v>
      </c>
      <c r="B18" s="349"/>
      <c r="C18" s="350"/>
      <c r="D18" s="350"/>
      <c r="E18" s="351"/>
      <c r="F18" s="349"/>
      <c r="G18" s="350"/>
      <c r="H18" s="351"/>
      <c r="I18" s="232"/>
      <c r="J18" s="236"/>
      <c r="K18" s="230"/>
    </row>
    <row r="19" spans="1:16" ht="15" customHeight="1" x14ac:dyDescent="0.25">
      <c r="A19" s="239" t="s">
        <v>239</v>
      </c>
      <c r="B19" s="349"/>
      <c r="C19" s="350"/>
      <c r="D19" s="350"/>
      <c r="E19" s="351"/>
      <c r="F19" s="349"/>
      <c r="G19" s="350"/>
      <c r="H19" s="351"/>
      <c r="I19" s="232"/>
      <c r="J19" s="236"/>
      <c r="K19" s="230"/>
      <c r="N19" s="226"/>
    </row>
    <row r="20" spans="1:16" ht="15" customHeight="1" x14ac:dyDescent="0.25">
      <c r="A20" s="239">
        <v>8</v>
      </c>
      <c r="B20" s="349"/>
      <c r="C20" s="350"/>
      <c r="D20" s="350"/>
      <c r="E20" s="351"/>
      <c r="F20" s="349"/>
      <c r="G20" s="350"/>
      <c r="H20" s="351"/>
      <c r="I20" s="232"/>
      <c r="J20" s="238"/>
      <c r="K20" s="230"/>
    </row>
    <row r="21" spans="1:16" ht="15" customHeight="1" x14ac:dyDescent="0.25">
      <c r="A21" s="348" t="s">
        <v>238</v>
      </c>
      <c r="B21" s="348"/>
      <c r="C21" s="348"/>
      <c r="D21" s="348"/>
      <c r="E21" s="348"/>
      <c r="F21" s="348"/>
      <c r="G21" s="348"/>
      <c r="H21" s="348"/>
      <c r="I21" s="232" t="s">
        <v>231</v>
      </c>
      <c r="J21" s="237">
        <f>J13+J14+J15</f>
        <v>226376093</v>
      </c>
      <c r="K21" s="230" t="s">
        <v>51</v>
      </c>
    </row>
    <row r="22" spans="1:16" ht="15" customHeight="1" x14ac:dyDescent="0.25">
      <c r="A22" s="354" t="s">
        <v>237</v>
      </c>
      <c r="B22" s="355"/>
      <c r="C22" s="355"/>
      <c r="D22" s="355"/>
      <c r="E22" s="355"/>
      <c r="F22" s="355"/>
      <c r="G22" s="355"/>
      <c r="H22" s="356"/>
      <c r="I22" s="232" t="s">
        <v>231</v>
      </c>
      <c r="J22" s="234">
        <f>J10-J21</f>
        <v>2251193721</v>
      </c>
      <c r="K22" s="230"/>
      <c r="N22" s="217"/>
    </row>
    <row r="23" spans="1:16" ht="15" customHeight="1" x14ac:dyDescent="0.25">
      <c r="A23" s="352"/>
      <c r="B23" s="352"/>
      <c r="C23" s="352"/>
      <c r="D23" s="352"/>
      <c r="E23" s="352"/>
      <c r="F23" s="352"/>
      <c r="G23" s="352"/>
      <c r="H23" s="352"/>
      <c r="I23" s="353"/>
      <c r="J23" s="352"/>
      <c r="K23" s="352"/>
    </row>
    <row r="24" spans="1:16" ht="15" customHeight="1" x14ac:dyDescent="0.25">
      <c r="A24" s="343" t="s">
        <v>236</v>
      </c>
      <c r="B24" s="343"/>
      <c r="C24" s="343"/>
      <c r="D24" s="343"/>
      <c r="E24" s="343"/>
      <c r="F24" s="343"/>
      <c r="G24" s="343"/>
      <c r="H24" s="343"/>
      <c r="I24" s="343"/>
      <c r="J24" s="343"/>
      <c r="K24" s="343"/>
    </row>
    <row r="25" spans="1:16" ht="15" customHeight="1" x14ac:dyDescent="0.25">
      <c r="A25" s="357" t="s">
        <v>235</v>
      </c>
      <c r="B25" s="358"/>
      <c r="C25" s="358"/>
      <c r="D25" s="358"/>
      <c r="E25" s="358"/>
      <c r="F25" s="358"/>
      <c r="G25" s="358"/>
      <c r="H25" s="359"/>
      <c r="I25" s="232" t="s">
        <v>231</v>
      </c>
      <c r="J25" s="236">
        <v>0</v>
      </c>
      <c r="K25" s="230"/>
      <c r="P25" s="217"/>
    </row>
    <row r="26" spans="1:16" ht="15" customHeight="1" x14ac:dyDescent="0.25">
      <c r="A26" s="357" t="s">
        <v>234</v>
      </c>
      <c r="B26" s="358"/>
      <c r="C26" s="358"/>
      <c r="D26" s="358"/>
      <c r="E26" s="358"/>
      <c r="F26" s="358"/>
      <c r="G26" s="358"/>
      <c r="H26" s="359"/>
      <c r="I26" s="232" t="s">
        <v>231</v>
      </c>
      <c r="J26" s="234">
        <f>J13+J14</f>
        <v>147165544</v>
      </c>
      <c r="K26" s="230"/>
      <c r="N26" s="235"/>
    </row>
    <row r="27" spans="1:16" ht="15" customHeight="1" x14ac:dyDescent="0.3">
      <c r="A27" s="357" t="s">
        <v>233</v>
      </c>
      <c r="B27" s="358"/>
      <c r="C27" s="358"/>
      <c r="D27" s="358"/>
      <c r="E27" s="358"/>
      <c r="F27" s="358"/>
      <c r="G27" s="358"/>
      <c r="H27" s="359"/>
      <c r="I27" s="232" t="s">
        <v>231</v>
      </c>
      <c r="J27" s="234">
        <f>J15</f>
        <v>79210549</v>
      </c>
      <c r="K27" s="230"/>
      <c r="N27" s="91"/>
    </row>
    <row r="28" spans="1:16" ht="15" customHeight="1" x14ac:dyDescent="0.3">
      <c r="A28" s="360" t="s">
        <v>124</v>
      </c>
      <c r="B28" s="348"/>
      <c r="C28" s="348"/>
      <c r="D28" s="348"/>
      <c r="E28" s="348"/>
      <c r="F28" s="348"/>
      <c r="G28" s="348"/>
      <c r="H28" s="348"/>
      <c r="I28" s="232" t="s">
        <v>231</v>
      </c>
      <c r="J28" s="233">
        <f>J26+J27</f>
        <v>226376093</v>
      </c>
      <c r="K28" s="230" t="s">
        <v>24</v>
      </c>
      <c r="N28" s="222"/>
    </row>
    <row r="29" spans="1:16" ht="15" customHeight="1" x14ac:dyDescent="0.25">
      <c r="A29" s="361" t="s">
        <v>232</v>
      </c>
      <c r="B29" s="362"/>
      <c r="C29" s="362"/>
      <c r="D29" s="362"/>
      <c r="E29" s="362"/>
      <c r="F29" s="362"/>
      <c r="G29" s="362"/>
      <c r="H29" s="363"/>
      <c r="I29" s="232" t="s">
        <v>231</v>
      </c>
      <c r="J29" s="231">
        <f>J21-J28</f>
        <v>0</v>
      </c>
      <c r="K29" s="230"/>
      <c r="N29" s="139"/>
      <c r="P29" s="224"/>
    </row>
    <row r="30" spans="1:16" ht="15" customHeight="1" x14ac:dyDescent="0.25">
      <c r="A30" s="229"/>
      <c r="B30" s="227"/>
      <c r="C30" s="227"/>
      <c r="D30" s="227"/>
      <c r="E30" s="227"/>
      <c r="F30" s="227"/>
      <c r="G30" s="227"/>
      <c r="H30" s="227"/>
      <c r="I30" s="227"/>
      <c r="J30" s="228"/>
      <c r="K30" s="227"/>
      <c r="N30" s="32">
        <f>J26</f>
        <v>147165544</v>
      </c>
    </row>
    <row r="31" spans="1:16" ht="15" customHeight="1" x14ac:dyDescent="0.25">
      <c r="H31" s="327" t="str">
        <f>'SPP1'!G35</f>
        <v>Watumalang, 21 April  2025</v>
      </c>
      <c r="I31" s="327"/>
      <c r="J31" s="327"/>
      <c r="N31" s="32">
        <v>86979098</v>
      </c>
      <c r="P31" s="226"/>
    </row>
    <row r="32" spans="1:16" ht="15" customHeight="1" x14ac:dyDescent="0.25">
      <c r="G32" s="42" t="s">
        <v>230</v>
      </c>
      <c r="H32" s="42"/>
      <c r="I32" s="42"/>
      <c r="J32" s="42"/>
      <c r="N32" s="225"/>
      <c r="P32" s="224"/>
    </row>
    <row r="33" spans="1:14" ht="15" customHeight="1" x14ac:dyDescent="0.25">
      <c r="B33" s="327" t="s">
        <v>191</v>
      </c>
      <c r="C33" s="327"/>
      <c r="D33" s="327"/>
      <c r="E33" s="327"/>
      <c r="G33" s="327" t="s">
        <v>57</v>
      </c>
      <c r="H33" s="327"/>
      <c r="I33" s="327"/>
      <c r="J33" s="327"/>
      <c r="N33" s="223">
        <f>J27+N30</f>
        <v>226376093</v>
      </c>
    </row>
    <row r="34" spans="1:14" ht="15" customHeight="1" x14ac:dyDescent="0.3">
      <c r="G34" s="327" t="s">
        <v>190</v>
      </c>
      <c r="H34" s="327"/>
      <c r="I34" s="327"/>
      <c r="J34" s="327"/>
      <c r="N34" s="222"/>
    </row>
    <row r="35" spans="1:14" ht="15" customHeight="1" x14ac:dyDescent="0.25">
      <c r="N35" s="32"/>
    </row>
    <row r="37" spans="1:14" ht="15" customHeight="1" x14ac:dyDescent="0.25">
      <c r="N37" s="217"/>
    </row>
    <row r="38" spans="1:14" ht="19.5" customHeight="1" x14ac:dyDescent="0.3">
      <c r="A38" s="364" t="s">
        <v>84</v>
      </c>
      <c r="B38" s="364"/>
      <c r="C38" s="364"/>
      <c r="D38" s="364"/>
      <c r="E38" s="364"/>
      <c r="F38" s="364"/>
      <c r="G38" s="324" t="str">
        <f>'SPP1'!G42</f>
        <v>SOLEH</v>
      </c>
      <c r="H38" s="324"/>
      <c r="I38" s="324"/>
      <c r="J38" s="324"/>
    </row>
    <row r="39" spans="1:14" ht="15" customHeight="1" x14ac:dyDescent="0.25">
      <c r="A39" s="327" t="s">
        <v>85</v>
      </c>
      <c r="B39" s="327"/>
      <c r="C39" s="327"/>
      <c r="D39" s="327"/>
      <c r="E39" s="327"/>
      <c r="G39" s="327" t="str">
        <f>'SPP1'!G43</f>
        <v>NIP. 19710815 201212 1 001</v>
      </c>
      <c r="H39" s="327"/>
      <c r="I39" s="327"/>
      <c r="J39" s="327"/>
      <c r="N39" s="217"/>
    </row>
    <row r="40" spans="1:14" ht="15" customHeight="1" x14ac:dyDescent="0.3">
      <c r="K40" s="41"/>
    </row>
  </sheetData>
  <mergeCells count="46">
    <mergeCell ref="G39:J39"/>
    <mergeCell ref="G33:J33"/>
    <mergeCell ref="B33:E33"/>
    <mergeCell ref="G34:J34"/>
    <mergeCell ref="A39:E39"/>
    <mergeCell ref="A25:H25"/>
    <mergeCell ref="A27:H27"/>
    <mergeCell ref="A28:H28"/>
    <mergeCell ref="G38:J38"/>
    <mergeCell ref="A29:H29"/>
    <mergeCell ref="H31:J31"/>
    <mergeCell ref="A26:H26"/>
    <mergeCell ref="A38:F38"/>
    <mergeCell ref="B18:E18"/>
    <mergeCell ref="F18:H18"/>
    <mergeCell ref="B19:E19"/>
    <mergeCell ref="F19:H19"/>
    <mergeCell ref="A24:K24"/>
    <mergeCell ref="B20:E20"/>
    <mergeCell ref="F20:H20"/>
    <mergeCell ref="A23:H23"/>
    <mergeCell ref="I23:K23"/>
    <mergeCell ref="A21:H21"/>
    <mergeCell ref="A22:H22"/>
    <mergeCell ref="B16:E16"/>
    <mergeCell ref="F16:H16"/>
    <mergeCell ref="B17:E17"/>
    <mergeCell ref="F17:H17"/>
    <mergeCell ref="B15:E15"/>
    <mergeCell ref="F15:H15"/>
    <mergeCell ref="F14:H14"/>
    <mergeCell ref="B14:E14"/>
    <mergeCell ref="B13:E13"/>
    <mergeCell ref="F13:H13"/>
    <mergeCell ref="A11:K11"/>
    <mergeCell ref="B12:E12"/>
    <mergeCell ref="F12:H12"/>
    <mergeCell ref="I12:K12"/>
    <mergeCell ref="A9:K9"/>
    <mergeCell ref="A10:H10"/>
    <mergeCell ref="A1:K1"/>
    <mergeCell ref="A2:K2"/>
    <mergeCell ref="A3:K3"/>
    <mergeCell ref="A4:K4"/>
    <mergeCell ref="A5:K5"/>
    <mergeCell ref="A7:K7"/>
  </mergeCells>
  <pageMargins left="1.3779527559055118" right="0.59055118110236227" top="0.78740157480314965" bottom="0.78740157480314965" header="0.51181102362204722" footer="0.51181102362204722"/>
  <pageSetup paperSize="5" scale="90" orientation="portrait" horizontalDpi="4294967293" verticalDpi="180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9B60-752B-48CB-89EB-4866B8965068}">
  <sheetPr>
    <tabColor theme="3" tint="-0.249977111117893"/>
  </sheetPr>
  <dimension ref="A1:L37"/>
  <sheetViews>
    <sheetView topLeftCell="A19" workbookViewId="0">
      <selection activeCell="E35" sqref="E35"/>
    </sheetView>
  </sheetViews>
  <sheetFormatPr defaultColWidth="9.1796875" defaultRowHeight="15" customHeight="1" x14ac:dyDescent="0.25"/>
  <cols>
    <col min="1" max="1" width="7.7265625" style="122" customWidth="1"/>
    <col min="2" max="2" width="9.1796875" style="122" customWidth="1"/>
    <col min="3" max="3" width="19.7265625" style="122" customWidth="1"/>
    <col min="4" max="4" width="3.1796875" style="122" customWidth="1"/>
    <col min="5" max="5" width="10.26953125" style="122" customWidth="1"/>
    <col min="6" max="6" width="4.453125" style="122" customWidth="1"/>
    <col min="7" max="7" width="5.26953125" style="122" customWidth="1"/>
    <col min="8" max="8" width="9.1796875" style="122"/>
    <col min="9" max="9" width="5.1796875" style="122" customWidth="1"/>
    <col min="10" max="10" width="3.7265625" style="122" customWidth="1"/>
    <col min="11" max="11" width="9.1796875" style="122"/>
    <col min="12" max="12" width="9.7265625" style="122" customWidth="1"/>
    <col min="13" max="16384" width="9.1796875" style="122"/>
  </cols>
  <sheetData>
    <row r="1" spans="1:12" ht="15" customHeight="1" x14ac:dyDescent="0.3">
      <c r="A1" s="328" t="s">
        <v>229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2" ht="15" customHeight="1" x14ac:dyDescent="0.3">
      <c r="A2" s="328" t="s">
        <v>228</v>
      </c>
      <c r="B2" s="328"/>
      <c r="C2" s="328"/>
      <c r="D2" s="328"/>
      <c r="E2" s="328"/>
      <c r="F2" s="328"/>
      <c r="G2" s="328"/>
      <c r="H2" s="328"/>
      <c r="I2" s="328"/>
      <c r="J2" s="328"/>
    </row>
    <row r="3" spans="1:12" ht="15" customHeight="1" x14ac:dyDescent="0.3">
      <c r="A3" s="328" t="s">
        <v>227</v>
      </c>
      <c r="B3" s="328"/>
      <c r="C3" s="328"/>
      <c r="D3" s="328"/>
      <c r="E3" s="328"/>
      <c r="F3" s="328"/>
      <c r="G3" s="328"/>
      <c r="H3" s="328"/>
      <c r="I3" s="328"/>
      <c r="J3" s="328"/>
    </row>
    <row r="4" spans="1:12" ht="15" customHeight="1" x14ac:dyDescent="0.3">
      <c r="A4" s="366" t="s">
        <v>226</v>
      </c>
      <c r="B4" s="366"/>
      <c r="C4" s="366"/>
      <c r="D4" s="366"/>
      <c r="E4" s="366"/>
      <c r="F4" s="366"/>
      <c r="G4" s="366"/>
      <c r="H4" s="366"/>
      <c r="I4" s="366"/>
      <c r="J4" s="366"/>
    </row>
    <row r="5" spans="1:12" ht="15" customHeight="1" x14ac:dyDescent="0.3">
      <c r="A5" s="328" t="str">
        <f>'SPP1'!A5</f>
        <v xml:space="preserve">                                                Nomor :  </v>
      </c>
      <c r="B5" s="328"/>
      <c r="C5" s="328"/>
      <c r="D5" s="328"/>
      <c r="E5" s="328"/>
      <c r="F5" s="328"/>
      <c r="G5" s="328"/>
      <c r="H5" s="328"/>
      <c r="I5" s="328"/>
      <c r="J5" s="328"/>
    </row>
    <row r="6" spans="1:12" ht="15" customHeight="1" x14ac:dyDescent="0.3">
      <c r="A6" s="45" t="s">
        <v>271</v>
      </c>
      <c r="B6" s="45"/>
      <c r="C6" s="45"/>
      <c r="D6" s="45"/>
      <c r="E6" s="45"/>
      <c r="F6" s="45"/>
      <c r="G6" s="45"/>
      <c r="H6" s="45"/>
      <c r="I6" s="45"/>
      <c r="J6" s="45"/>
    </row>
    <row r="7" spans="1:12" ht="15" customHeight="1" x14ac:dyDescent="0.3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2" ht="15" customHeight="1" x14ac:dyDescent="0.3">
      <c r="A8" s="328" t="s">
        <v>270</v>
      </c>
      <c r="B8" s="328"/>
      <c r="C8" s="328"/>
      <c r="D8" s="328"/>
      <c r="E8" s="328"/>
      <c r="F8" s="328"/>
      <c r="G8" s="328"/>
      <c r="H8" s="328"/>
      <c r="I8" s="328"/>
      <c r="J8" s="328"/>
    </row>
    <row r="9" spans="1:12" ht="15" customHeight="1" x14ac:dyDescent="0.3">
      <c r="A9" s="45"/>
      <c r="B9" s="45"/>
      <c r="C9" s="45"/>
      <c r="D9" s="45"/>
      <c r="E9" s="45"/>
      <c r="F9" s="45"/>
      <c r="G9" s="45"/>
      <c r="H9" s="45"/>
      <c r="I9" s="45"/>
      <c r="J9" s="45"/>
    </row>
    <row r="10" spans="1:12" ht="15" customHeight="1" x14ac:dyDescent="0.3">
      <c r="A10" s="328" t="s">
        <v>269</v>
      </c>
      <c r="B10" s="328"/>
      <c r="C10" s="328"/>
      <c r="D10" s="328"/>
      <c r="E10" s="328"/>
      <c r="F10" s="328"/>
      <c r="G10" s="328"/>
      <c r="H10" s="328"/>
      <c r="I10" s="328"/>
      <c r="J10" s="328"/>
      <c r="K10" s="243"/>
      <c r="L10" s="243"/>
    </row>
    <row r="11" spans="1:12" ht="15" customHeight="1" x14ac:dyDescent="0.3">
      <c r="A11" s="244" t="s">
        <v>268</v>
      </c>
      <c r="B11" s="365" t="s">
        <v>267</v>
      </c>
      <c r="C11" s="365"/>
      <c r="D11" s="365"/>
      <c r="E11" s="365"/>
      <c r="F11" s="244"/>
      <c r="G11" s="244"/>
      <c r="H11" s="244"/>
      <c r="I11" s="244"/>
      <c r="J11" s="244"/>
      <c r="K11" s="243"/>
      <c r="L11" s="243"/>
    </row>
    <row r="12" spans="1:12" ht="15" customHeight="1" thickBot="1" x14ac:dyDescent="0.35">
      <c r="A12" s="244"/>
      <c r="B12" s="244"/>
      <c r="C12" s="244"/>
      <c r="D12" s="244"/>
      <c r="E12" s="244"/>
      <c r="F12" s="244"/>
      <c r="G12" s="244"/>
      <c r="H12" s="244"/>
      <c r="I12" s="244"/>
      <c r="J12" s="244"/>
      <c r="K12" s="243"/>
      <c r="L12" s="243"/>
    </row>
    <row r="13" spans="1:12" ht="15" customHeight="1" thickTop="1" x14ac:dyDescent="0.25">
      <c r="A13" s="379" t="s">
        <v>157</v>
      </c>
      <c r="B13" s="381" t="s">
        <v>90</v>
      </c>
      <c r="C13" s="381"/>
      <c r="D13" s="381"/>
      <c r="E13" s="381" t="s">
        <v>266</v>
      </c>
      <c r="F13" s="381"/>
      <c r="G13" s="381"/>
      <c r="H13" s="383" t="s">
        <v>124</v>
      </c>
      <c r="I13" s="383"/>
      <c r="J13" s="384"/>
      <c r="K13" s="243"/>
      <c r="L13" s="243"/>
    </row>
    <row r="14" spans="1:12" ht="15" customHeight="1" thickBot="1" x14ac:dyDescent="0.3">
      <c r="A14" s="380"/>
      <c r="B14" s="382"/>
      <c r="C14" s="382"/>
      <c r="D14" s="382"/>
      <c r="E14" s="382"/>
      <c r="F14" s="382"/>
      <c r="G14" s="382"/>
      <c r="H14" s="385" t="s">
        <v>265</v>
      </c>
      <c r="I14" s="385"/>
      <c r="J14" s="386"/>
      <c r="K14" s="243"/>
      <c r="L14" s="243"/>
    </row>
    <row r="15" spans="1:12" ht="25" customHeight="1" thickTop="1" x14ac:dyDescent="0.25">
      <c r="A15" s="257">
        <v>1</v>
      </c>
      <c r="B15" s="367" t="s">
        <v>159</v>
      </c>
      <c r="C15" s="368"/>
      <c r="D15" s="369"/>
      <c r="E15" s="256" t="s">
        <v>158</v>
      </c>
      <c r="F15" s="255"/>
      <c r="G15" s="246"/>
      <c r="H15" s="370">
        <f>[2]KUNCI!H8</f>
        <v>59506800</v>
      </c>
      <c r="I15" s="371"/>
      <c r="J15" s="372"/>
      <c r="K15" s="252"/>
      <c r="L15" s="252"/>
    </row>
    <row r="16" spans="1:12" ht="25" customHeight="1" x14ac:dyDescent="0.25">
      <c r="A16" s="251">
        <v>2</v>
      </c>
      <c r="B16" s="373" t="s">
        <v>153</v>
      </c>
      <c r="C16" s="374"/>
      <c r="D16" s="375"/>
      <c r="E16" s="253" t="s">
        <v>264</v>
      </c>
      <c r="F16" s="250"/>
      <c r="G16" s="250"/>
      <c r="H16" s="376">
        <f>[2]KUNCI!K8</f>
        <v>5647280</v>
      </c>
      <c r="I16" s="377"/>
      <c r="J16" s="378"/>
      <c r="K16" s="252"/>
      <c r="L16" s="252"/>
    </row>
    <row r="17" spans="1:12" ht="25" customHeight="1" x14ac:dyDescent="0.25">
      <c r="A17" s="251">
        <v>3</v>
      </c>
      <c r="B17" s="373" t="s">
        <v>150</v>
      </c>
      <c r="C17" s="374"/>
      <c r="D17" s="375"/>
      <c r="E17" s="253" t="s">
        <v>263</v>
      </c>
      <c r="F17" s="250"/>
      <c r="G17" s="250"/>
      <c r="H17" s="376">
        <f>[2]KUNCI!N8</f>
        <v>5920000</v>
      </c>
      <c r="I17" s="377"/>
      <c r="J17" s="378"/>
      <c r="K17" s="252"/>
      <c r="L17" s="252"/>
    </row>
    <row r="18" spans="1:12" ht="25" customHeight="1" x14ac:dyDescent="0.25">
      <c r="A18" s="251">
        <v>4</v>
      </c>
      <c r="B18" s="254"/>
      <c r="C18" s="250"/>
      <c r="D18" s="250"/>
      <c r="E18" s="253" t="s">
        <v>262</v>
      </c>
      <c r="F18" s="250"/>
      <c r="G18" s="250"/>
      <c r="H18" s="376"/>
      <c r="I18" s="377"/>
      <c r="J18" s="378"/>
      <c r="K18" s="252"/>
      <c r="L18" s="252"/>
    </row>
    <row r="19" spans="1:12" ht="25" customHeight="1" x14ac:dyDescent="0.25">
      <c r="A19" s="251">
        <v>5</v>
      </c>
      <c r="B19" s="387" t="s">
        <v>146</v>
      </c>
      <c r="C19" s="388"/>
      <c r="D19" s="389"/>
      <c r="E19" s="253" t="s">
        <v>261</v>
      </c>
      <c r="F19" s="250"/>
      <c r="G19" s="250"/>
      <c r="H19" s="376">
        <f>[2]KUNCI!L8</f>
        <v>1080000</v>
      </c>
      <c r="I19" s="377"/>
      <c r="J19" s="378"/>
      <c r="K19" s="252"/>
      <c r="L19" s="252"/>
    </row>
    <row r="20" spans="1:12" ht="25" customHeight="1" x14ac:dyDescent="0.25">
      <c r="A20" s="251">
        <v>6</v>
      </c>
      <c r="B20" s="387" t="s">
        <v>143</v>
      </c>
      <c r="C20" s="388"/>
      <c r="D20" s="389"/>
      <c r="E20" s="248" t="s">
        <v>260</v>
      </c>
      <c r="F20" s="250"/>
      <c r="G20" s="250"/>
      <c r="H20" s="376">
        <f>[2]KUNCI!W8</f>
        <v>3041640</v>
      </c>
      <c r="I20" s="377"/>
      <c r="J20" s="378"/>
      <c r="K20" s="124"/>
      <c r="L20" s="124"/>
    </row>
    <row r="21" spans="1:12" ht="25" customHeight="1" x14ac:dyDescent="0.25">
      <c r="A21" s="251">
        <v>7</v>
      </c>
      <c r="B21" s="387" t="s">
        <v>139</v>
      </c>
      <c r="C21" s="388"/>
      <c r="D21" s="389"/>
      <c r="E21" s="248" t="s">
        <v>259</v>
      </c>
      <c r="F21" s="250"/>
      <c r="G21" s="250"/>
      <c r="H21" s="376">
        <f>[2]KUNCI!Q8</f>
        <v>172487</v>
      </c>
      <c r="I21" s="377"/>
      <c r="J21" s="378"/>
      <c r="K21" s="124"/>
      <c r="L21" s="124"/>
    </row>
    <row r="22" spans="1:12" ht="25" customHeight="1" x14ac:dyDescent="0.25">
      <c r="A22" s="249">
        <v>8</v>
      </c>
      <c r="B22" s="387" t="s">
        <v>136</v>
      </c>
      <c r="C22" s="388"/>
      <c r="D22" s="389"/>
      <c r="E22" s="248" t="s">
        <v>135</v>
      </c>
      <c r="F22" s="247"/>
      <c r="G22" s="246"/>
      <c r="H22" s="376">
        <f>[2]KUNCI!S8</f>
        <v>547</v>
      </c>
      <c r="I22" s="377"/>
      <c r="J22" s="378"/>
      <c r="K22" s="124"/>
      <c r="L22" s="124"/>
    </row>
    <row r="23" spans="1:12" ht="25" customHeight="1" x14ac:dyDescent="0.3">
      <c r="A23" s="245"/>
      <c r="B23" s="395"/>
      <c r="C23" s="396"/>
      <c r="D23" s="396"/>
      <c r="E23" s="396"/>
      <c r="F23" s="396"/>
      <c r="G23" s="396"/>
      <c r="H23" s="397"/>
      <c r="I23" s="398"/>
      <c r="J23" s="399"/>
      <c r="K23" s="243"/>
      <c r="L23" s="243"/>
    </row>
    <row r="24" spans="1:12" ht="31.5" customHeight="1" thickBot="1" x14ac:dyDescent="0.3">
      <c r="A24" s="390" t="s">
        <v>258</v>
      </c>
      <c r="B24" s="391"/>
      <c r="C24" s="391"/>
      <c r="D24" s="391"/>
      <c r="E24" s="391"/>
      <c r="F24" s="391"/>
      <c r="G24" s="391"/>
      <c r="H24" s="392">
        <f>SUM(H15:J23)</f>
        <v>75368754</v>
      </c>
      <c r="I24" s="393"/>
      <c r="J24" s="394"/>
      <c r="K24" s="243"/>
      <c r="L24" s="243"/>
    </row>
    <row r="25" spans="1:12" ht="15" customHeight="1" thickTop="1" x14ac:dyDescent="0.3">
      <c r="A25" s="244"/>
      <c r="B25" s="244"/>
      <c r="C25" s="244"/>
      <c r="D25" s="244"/>
      <c r="E25" s="244"/>
      <c r="F25" s="244"/>
      <c r="G25" s="244"/>
      <c r="H25" s="244"/>
      <c r="I25" s="244"/>
      <c r="J25" s="244"/>
      <c r="K25" s="243"/>
      <c r="L25" s="243"/>
    </row>
    <row r="26" spans="1:12" ht="15" customHeight="1" x14ac:dyDescent="0.25">
      <c r="A26" s="243"/>
      <c r="B26" s="243"/>
      <c r="C26" s="243"/>
      <c r="D26" s="243"/>
      <c r="E26" s="327" t="str">
        <f>'SPP1'!G35</f>
        <v>Watumalang, 21 April  2025</v>
      </c>
      <c r="F26" s="327"/>
      <c r="G26" s="327"/>
      <c r="H26" s="327"/>
      <c r="I26" s="327"/>
      <c r="J26" s="327"/>
      <c r="K26" s="243"/>
      <c r="L26" s="243"/>
    </row>
    <row r="28" spans="1:12" ht="15" customHeight="1" x14ac:dyDescent="0.25">
      <c r="E28" s="327" t="s">
        <v>57</v>
      </c>
      <c r="F28" s="327"/>
      <c r="G28" s="327"/>
      <c r="H28" s="327"/>
      <c r="I28" s="327"/>
      <c r="J28" s="327"/>
    </row>
    <row r="29" spans="1:12" ht="15" customHeight="1" x14ac:dyDescent="0.25">
      <c r="A29" s="327" t="s">
        <v>191</v>
      </c>
      <c r="B29" s="327"/>
      <c r="C29" s="327"/>
      <c r="D29" s="327"/>
      <c r="E29" s="327"/>
      <c r="F29" s="122" t="s">
        <v>190</v>
      </c>
      <c r="J29" s="42"/>
    </row>
    <row r="32" spans="1:12" ht="15" customHeight="1" x14ac:dyDescent="0.3">
      <c r="B32" s="400" t="str">
        <f>'SPP1'!B42:E42</f>
        <v>DEWI ASMARANI H., A.Md</v>
      </c>
      <c r="C32" s="400"/>
      <c r="D32" s="400"/>
      <c r="E32" s="324" t="str">
        <f>'SPP1'!G42</f>
        <v>SOLEH</v>
      </c>
      <c r="F32" s="324"/>
      <c r="G32" s="324"/>
      <c r="H32" s="324"/>
      <c r="I32" s="324"/>
    </row>
    <row r="33" spans="2:11" ht="15" customHeight="1" x14ac:dyDescent="0.3">
      <c r="B33" s="327" t="str">
        <f>'SPP1'!B43:E43</f>
        <v>NIP. 19930702 202012 2 010</v>
      </c>
      <c r="C33" s="327"/>
      <c r="D33" s="327"/>
      <c r="E33" s="327" t="str">
        <f>'SPP1'!G43</f>
        <v>NIP. 19710815 201212 1 001</v>
      </c>
      <c r="F33" s="327"/>
      <c r="G33" s="327"/>
      <c r="H33" s="327"/>
      <c r="I33" s="327"/>
      <c r="J33" s="41"/>
    </row>
    <row r="37" spans="2:11" ht="15" customHeight="1" x14ac:dyDescent="0.3">
      <c r="K37" s="41"/>
    </row>
  </sheetData>
  <mergeCells count="40">
    <mergeCell ref="E26:J26"/>
    <mergeCell ref="E28:J28"/>
    <mergeCell ref="A29:E29"/>
    <mergeCell ref="B33:D33"/>
    <mergeCell ref="E33:I33"/>
    <mergeCell ref="B32:D32"/>
    <mergeCell ref="E32:I32"/>
    <mergeCell ref="A24:G24"/>
    <mergeCell ref="H24:J24"/>
    <mergeCell ref="B22:D22"/>
    <mergeCell ref="H22:J22"/>
    <mergeCell ref="B23:D23"/>
    <mergeCell ref="E23:G23"/>
    <mergeCell ref="H23:J23"/>
    <mergeCell ref="B20:D20"/>
    <mergeCell ref="H20:J20"/>
    <mergeCell ref="B21:D21"/>
    <mergeCell ref="H21:J21"/>
    <mergeCell ref="B17:D17"/>
    <mergeCell ref="H17:J17"/>
    <mergeCell ref="H18:J18"/>
    <mergeCell ref="B19:D19"/>
    <mergeCell ref="H19:J19"/>
    <mergeCell ref="B15:D15"/>
    <mergeCell ref="H15:J15"/>
    <mergeCell ref="B16:D16"/>
    <mergeCell ref="H16:J16"/>
    <mergeCell ref="A13:A14"/>
    <mergeCell ref="B13:D14"/>
    <mergeCell ref="E13:G14"/>
    <mergeCell ref="H13:J13"/>
    <mergeCell ref="H14:J14"/>
    <mergeCell ref="B11:E11"/>
    <mergeCell ref="A5:J5"/>
    <mergeCell ref="A8:J8"/>
    <mergeCell ref="A10:J10"/>
    <mergeCell ref="A1:J1"/>
    <mergeCell ref="A2:J2"/>
    <mergeCell ref="A3:J3"/>
    <mergeCell ref="A4:J4"/>
  </mergeCells>
  <pageMargins left="1.3779527559055118" right="0.39370078740157483" top="0.98425196850393704" bottom="0.98425196850393704" header="0.51181102362204722" footer="0.51181102362204722"/>
  <pageSetup paperSize="5" scale="95" orientation="portrait" horizontalDpi="4294967293" verticalDpi="180" copies="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E39F-A656-4C94-91B2-23B5F0466BC0}">
  <sheetPr>
    <tabColor rgb="FF002060"/>
  </sheetPr>
  <dimension ref="A1:AK44"/>
  <sheetViews>
    <sheetView zoomScale="75" workbookViewId="0">
      <selection activeCell="P29" sqref="P29"/>
    </sheetView>
  </sheetViews>
  <sheetFormatPr defaultColWidth="9.1796875" defaultRowHeight="12.5" x14ac:dyDescent="0.25"/>
  <cols>
    <col min="1" max="1" width="18.1796875" style="47" customWidth="1"/>
    <col min="2" max="2" width="7.1796875" style="47" customWidth="1"/>
    <col min="3" max="3" width="3.1796875" style="47" customWidth="1"/>
    <col min="4" max="4" width="2.26953125" style="47" customWidth="1"/>
    <col min="5" max="5" width="2.54296875" style="47" customWidth="1"/>
    <col min="6" max="6" width="3.453125" style="47" customWidth="1"/>
    <col min="7" max="7" width="1" style="47" customWidth="1"/>
    <col min="8" max="8" width="2.1796875" style="47" customWidth="1"/>
    <col min="9" max="9" width="17" style="47" customWidth="1"/>
    <col min="10" max="10" width="4.453125" style="47" customWidth="1"/>
    <col min="11" max="11" width="6.453125" style="47" customWidth="1"/>
    <col min="12" max="12" width="14.81640625" style="47" customWidth="1"/>
    <col min="13" max="13" width="3.81640625" style="47" customWidth="1"/>
    <col min="14" max="14" width="5.26953125" style="47" customWidth="1"/>
    <col min="15" max="15" width="9.54296875" style="47" customWidth="1"/>
    <col min="16" max="16" width="20.81640625" style="47" customWidth="1"/>
    <col min="17" max="17" width="8.26953125" style="47" customWidth="1"/>
    <col min="18" max="18" width="14.7265625" style="47" customWidth="1"/>
    <col min="19" max="19" width="8.1796875" style="47" customWidth="1"/>
    <col min="20" max="20" width="18.1796875" style="47" customWidth="1"/>
    <col min="21" max="21" width="5.81640625" style="47" customWidth="1"/>
    <col min="22" max="22" width="30.54296875" style="47" customWidth="1"/>
    <col min="23" max="23" width="17.453125" style="47" customWidth="1"/>
    <col min="24" max="24" width="19.81640625" style="47" customWidth="1"/>
    <col min="25" max="25" width="7.54296875" style="47" customWidth="1"/>
    <col min="26" max="16384" width="9.1796875" style="47"/>
  </cols>
  <sheetData>
    <row r="1" spans="1:37" ht="15" customHeight="1" x14ac:dyDescent="0.3">
      <c r="A1" s="146" t="s">
        <v>186</v>
      </c>
      <c r="B1" s="145"/>
      <c r="C1" s="147"/>
      <c r="D1" s="147"/>
      <c r="E1" s="147"/>
      <c r="F1" s="147"/>
      <c r="G1" s="147"/>
      <c r="H1" s="147"/>
      <c r="I1" s="401" t="s">
        <v>185</v>
      </c>
      <c r="J1" s="401"/>
      <c r="K1" s="401"/>
      <c r="L1" s="401"/>
      <c r="M1" s="401"/>
      <c r="N1" s="401"/>
      <c r="O1" s="401"/>
      <c r="P1" s="401"/>
      <c r="Q1" s="401"/>
      <c r="R1" s="401"/>
      <c r="S1" s="147"/>
      <c r="T1" s="147"/>
      <c r="U1" s="148"/>
      <c r="V1" s="148"/>
    </row>
    <row r="2" spans="1:37" ht="15" customHeight="1" x14ac:dyDescent="0.3">
      <c r="A2" s="147"/>
      <c r="B2" s="144"/>
      <c r="C2" s="147"/>
      <c r="D2" s="147"/>
      <c r="E2" s="147"/>
      <c r="F2" s="147"/>
      <c r="G2" s="110"/>
      <c r="H2" s="147"/>
      <c r="I2" s="401" t="s">
        <v>184</v>
      </c>
      <c r="J2" s="401"/>
      <c r="K2" s="401"/>
      <c r="L2" s="401"/>
      <c r="M2" s="401"/>
      <c r="N2" s="401"/>
      <c r="O2" s="401"/>
      <c r="P2" s="401"/>
      <c r="Q2" s="401"/>
      <c r="R2" s="401"/>
      <c r="S2" s="147"/>
      <c r="T2" s="147"/>
    </row>
    <row r="3" spans="1:37" ht="17.149999999999999" customHeight="1" x14ac:dyDescent="0.3">
      <c r="A3" s="147"/>
      <c r="B3" s="144"/>
      <c r="C3" s="147"/>
      <c r="D3" s="147"/>
      <c r="E3" s="147"/>
      <c r="F3" s="147"/>
      <c r="G3" s="147"/>
      <c r="H3" s="147"/>
      <c r="I3" s="401" t="s">
        <v>183</v>
      </c>
      <c r="J3" s="401"/>
      <c r="K3" s="401"/>
      <c r="L3" s="401"/>
      <c r="M3" s="401"/>
      <c r="N3" s="401"/>
      <c r="O3" s="401"/>
      <c r="P3" s="401"/>
      <c r="Q3" s="401"/>
      <c r="R3" s="401"/>
      <c r="S3" s="147"/>
      <c r="T3" s="147"/>
    </row>
    <row r="4" spans="1:37" ht="12.75" customHeight="1" x14ac:dyDescent="0.25">
      <c r="A4" s="149"/>
      <c r="B4" s="150"/>
      <c r="C4" s="147"/>
      <c r="D4" s="147"/>
      <c r="E4" s="147"/>
      <c r="F4" s="147"/>
      <c r="G4" s="147"/>
      <c r="H4" s="147"/>
      <c r="I4" s="150"/>
      <c r="J4" s="147"/>
      <c r="K4" s="147"/>
      <c r="L4" s="151"/>
      <c r="M4" s="151"/>
      <c r="N4" s="151"/>
      <c r="O4" s="151"/>
      <c r="P4" s="151"/>
      <c r="Q4" s="152" t="s">
        <v>182</v>
      </c>
      <c r="R4" s="153"/>
      <c r="S4" s="153"/>
      <c r="T4" s="153"/>
      <c r="W4" s="152"/>
    </row>
    <row r="5" spans="1:37" ht="12.75" customHeight="1" x14ac:dyDescent="0.25">
      <c r="A5" s="154">
        <v>1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402"/>
      <c r="M5" s="402"/>
      <c r="N5" s="402"/>
      <c r="O5" s="156"/>
      <c r="P5" s="157"/>
      <c r="Q5" s="155"/>
      <c r="R5" s="155"/>
      <c r="S5" s="155"/>
      <c r="T5" s="158"/>
      <c r="U5" s="159"/>
    </row>
    <row r="6" spans="1:37" ht="13.5" customHeight="1" x14ac:dyDescent="0.3">
      <c r="A6" s="160" t="s">
        <v>181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61"/>
      <c r="N6" s="147" t="s">
        <v>180</v>
      </c>
      <c r="O6" s="147"/>
      <c r="P6" s="147"/>
      <c r="Q6" s="147"/>
      <c r="R6" s="147"/>
      <c r="S6" s="147"/>
      <c r="T6" s="161"/>
      <c r="W6" s="162"/>
      <c r="X6" s="135"/>
      <c r="AC6" s="143"/>
      <c r="AD6" s="142"/>
    </row>
    <row r="7" spans="1:37" ht="13.5" customHeight="1" x14ac:dyDescent="0.3">
      <c r="A7" s="163" t="s">
        <v>179</v>
      </c>
      <c r="B7" s="147"/>
      <c r="C7" s="147"/>
      <c r="D7" s="147"/>
      <c r="E7" s="147"/>
      <c r="F7" s="147"/>
      <c r="G7" s="147"/>
      <c r="H7" s="152" t="s">
        <v>131</v>
      </c>
      <c r="I7" s="147"/>
      <c r="J7" s="147"/>
      <c r="K7" s="147"/>
      <c r="L7" s="147"/>
      <c r="M7" s="161"/>
      <c r="N7" s="147"/>
      <c r="O7" s="147"/>
      <c r="P7" s="147"/>
      <c r="Q7" s="147"/>
      <c r="R7" s="147"/>
      <c r="S7" s="147"/>
      <c r="T7" s="161"/>
      <c r="W7" s="141"/>
      <c r="X7" s="134"/>
      <c r="Y7" s="76"/>
      <c r="Z7" s="76"/>
      <c r="AA7" s="76"/>
      <c r="AB7" s="76"/>
      <c r="AC7" s="140"/>
      <c r="AD7" s="130"/>
      <c r="AE7" s="129"/>
      <c r="AK7" s="162"/>
    </row>
    <row r="8" spans="1:37" ht="13.5" customHeight="1" x14ac:dyDescent="0.3">
      <c r="A8" s="164" t="s">
        <v>178</v>
      </c>
      <c r="B8" s="165"/>
      <c r="C8" s="165"/>
      <c r="D8" s="165"/>
      <c r="E8" s="165"/>
      <c r="F8" s="165"/>
      <c r="G8" s="165"/>
      <c r="H8" s="166" t="s">
        <v>131</v>
      </c>
      <c r="I8" s="167" t="s">
        <v>177</v>
      </c>
      <c r="J8" s="167"/>
      <c r="K8" s="165"/>
      <c r="L8" s="165"/>
      <c r="M8" s="168"/>
      <c r="N8" s="169" t="s">
        <v>157</v>
      </c>
      <c r="O8" s="408" t="s">
        <v>156</v>
      </c>
      <c r="P8" s="409"/>
      <c r="Q8" s="418" t="s">
        <v>155</v>
      </c>
      <c r="R8" s="409"/>
      <c r="S8" s="408" t="s">
        <v>154</v>
      </c>
      <c r="T8" s="409"/>
      <c r="W8" s="138"/>
      <c r="X8" s="134"/>
      <c r="Y8" s="76"/>
      <c r="Z8" s="76"/>
      <c r="AA8" s="76"/>
      <c r="AB8" s="76"/>
      <c r="AC8" s="170"/>
      <c r="AD8" s="130"/>
      <c r="AE8" s="129"/>
    </row>
    <row r="9" spans="1:37" ht="13.5" customHeight="1" x14ac:dyDescent="0.3">
      <c r="A9" s="163" t="s">
        <v>176</v>
      </c>
      <c r="B9" s="147"/>
      <c r="C9" s="147"/>
      <c r="D9" s="147"/>
      <c r="E9" s="147"/>
      <c r="F9" s="147"/>
      <c r="G9" s="147"/>
      <c r="H9" s="152" t="s">
        <v>131</v>
      </c>
      <c r="I9" s="171" t="s">
        <v>84</v>
      </c>
      <c r="J9" s="172"/>
      <c r="K9" s="173"/>
      <c r="L9" s="172"/>
      <c r="M9" s="174"/>
      <c r="N9" s="169">
        <v>1</v>
      </c>
      <c r="O9" s="175" t="s">
        <v>175</v>
      </c>
      <c r="P9" s="155"/>
      <c r="Q9" s="175" t="s">
        <v>133</v>
      </c>
      <c r="R9" s="176">
        <f>KUNCI!W25</f>
        <v>71709</v>
      </c>
      <c r="S9" s="177"/>
      <c r="T9" s="158"/>
      <c r="W9" s="133"/>
      <c r="X9" s="134"/>
      <c r="AB9" s="135"/>
      <c r="AC9" s="170"/>
      <c r="AD9" s="130"/>
      <c r="AE9" s="129"/>
    </row>
    <row r="10" spans="1:37" ht="13.5" customHeight="1" x14ac:dyDescent="0.3">
      <c r="A10" s="163"/>
      <c r="B10" s="147"/>
      <c r="C10" s="147"/>
      <c r="D10" s="147"/>
      <c r="E10" s="147"/>
      <c r="F10" s="147"/>
      <c r="G10" s="147"/>
      <c r="H10" s="152" t="s">
        <v>131</v>
      </c>
      <c r="I10" s="178"/>
      <c r="J10" s="178"/>
      <c r="K10" s="173"/>
      <c r="L10" s="172"/>
      <c r="M10" s="174"/>
      <c r="N10" s="169">
        <v>1</v>
      </c>
      <c r="O10" s="175" t="s">
        <v>174</v>
      </c>
      <c r="P10" s="155"/>
      <c r="Q10" s="175" t="s">
        <v>133</v>
      </c>
      <c r="R10" s="176">
        <f>KUNCI!X25</f>
        <v>0</v>
      </c>
      <c r="S10" s="177"/>
      <c r="T10" s="158"/>
      <c r="V10" s="76"/>
      <c r="W10" s="133"/>
      <c r="X10" s="137"/>
      <c r="Y10" s="136"/>
      <c r="AB10" s="76"/>
      <c r="AC10" s="170"/>
      <c r="AD10" s="130"/>
      <c r="AE10" s="129"/>
    </row>
    <row r="11" spans="1:37" ht="13.5" customHeight="1" x14ac:dyDescent="0.3">
      <c r="A11" s="163" t="s">
        <v>173</v>
      </c>
      <c r="B11" s="147"/>
      <c r="C11" s="147"/>
      <c r="D11" s="147"/>
      <c r="E11" s="147"/>
      <c r="F11" s="147"/>
      <c r="G11" s="147"/>
      <c r="H11" s="152" t="s">
        <v>131</v>
      </c>
      <c r="I11" s="172">
        <v>1023000364</v>
      </c>
      <c r="J11" s="171" t="str">
        <f>'SPP1'!E28</f>
        <v>: SOLEH</v>
      </c>
      <c r="K11" s="172"/>
      <c r="L11" s="172"/>
      <c r="M11" s="179"/>
      <c r="N11" s="169">
        <f>N9+1</f>
        <v>2</v>
      </c>
      <c r="O11" s="175" t="s">
        <v>172</v>
      </c>
      <c r="P11" s="155"/>
      <c r="Q11" s="175" t="s">
        <v>133</v>
      </c>
      <c r="R11" s="176">
        <f>[2]KUNCI!AC8</f>
        <v>0</v>
      </c>
      <c r="S11" s="177"/>
      <c r="T11" s="158"/>
      <c r="W11" s="133"/>
      <c r="X11" s="134"/>
      <c r="AB11" s="76"/>
      <c r="AC11" s="170"/>
      <c r="AD11" s="130"/>
      <c r="AE11" s="129"/>
    </row>
    <row r="12" spans="1:37" ht="12" customHeight="1" x14ac:dyDescent="0.3">
      <c r="A12" s="163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61"/>
      <c r="N12" s="169">
        <f>N11+1</f>
        <v>3</v>
      </c>
      <c r="O12" s="175" t="s">
        <v>171</v>
      </c>
      <c r="P12" s="155"/>
      <c r="Q12" s="175" t="s">
        <v>133</v>
      </c>
      <c r="R12" s="176">
        <f>gpjak</f>
        <v>0</v>
      </c>
      <c r="S12" s="177"/>
      <c r="T12" s="158"/>
      <c r="W12" s="133"/>
      <c r="X12" s="133"/>
      <c r="Y12" s="134"/>
      <c r="AB12" s="76"/>
      <c r="AC12" s="170"/>
      <c r="AD12" s="130"/>
      <c r="AE12" s="129"/>
    </row>
    <row r="13" spans="1:37" ht="13.5" customHeight="1" x14ac:dyDescent="0.3">
      <c r="A13" s="163" t="s">
        <v>170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61"/>
      <c r="N13" s="169">
        <f>N12+1</f>
        <v>4</v>
      </c>
      <c r="O13" s="175" t="s">
        <v>169</v>
      </c>
      <c r="P13" s="155"/>
      <c r="Q13" s="175" t="s">
        <v>133</v>
      </c>
      <c r="R13" s="176"/>
      <c r="S13" s="177"/>
      <c r="T13" s="158"/>
      <c r="W13" s="135"/>
      <c r="X13" s="135"/>
      <c r="Y13" s="134"/>
      <c r="AC13" s="170"/>
      <c r="AD13" s="130"/>
      <c r="AE13" s="129"/>
    </row>
    <row r="14" spans="1:37" ht="13.5" customHeight="1" x14ac:dyDescent="0.3">
      <c r="A14" s="180" t="s">
        <v>168</v>
      </c>
      <c r="B14" s="149"/>
      <c r="C14" s="149"/>
      <c r="D14" s="149"/>
      <c r="E14" s="149"/>
      <c r="F14" s="149"/>
      <c r="G14" s="149"/>
      <c r="H14" s="181" t="s">
        <v>131</v>
      </c>
      <c r="I14" s="149" t="s">
        <v>167</v>
      </c>
      <c r="J14" s="149"/>
      <c r="K14" s="149"/>
      <c r="L14" s="149"/>
      <c r="M14" s="182"/>
      <c r="N14" s="169"/>
      <c r="O14" s="175" t="s">
        <v>128</v>
      </c>
      <c r="P14" s="155"/>
      <c r="Q14" s="175"/>
      <c r="R14" s="176"/>
      <c r="S14" s="177"/>
      <c r="T14" s="158"/>
      <c r="W14" s="135"/>
      <c r="X14" s="135"/>
      <c r="Y14" s="134"/>
      <c r="AC14" s="170"/>
      <c r="AD14" s="130"/>
      <c r="AE14" s="129"/>
    </row>
    <row r="15" spans="1:37" ht="13.5" customHeight="1" x14ac:dyDescent="0.3">
      <c r="A15" s="405" t="s">
        <v>188</v>
      </c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7"/>
      <c r="N15" s="169"/>
      <c r="O15" s="175" t="s">
        <v>128</v>
      </c>
      <c r="P15" s="155"/>
      <c r="Q15" s="175"/>
      <c r="R15" s="176"/>
      <c r="S15" s="177"/>
      <c r="T15" s="158"/>
      <c r="W15" s="133"/>
      <c r="X15" s="133"/>
      <c r="Y15" s="123"/>
      <c r="Z15" s="123"/>
      <c r="AA15" s="123"/>
      <c r="AC15" s="170"/>
      <c r="AD15" s="130"/>
      <c r="AE15" s="129"/>
    </row>
    <row r="16" spans="1:37" ht="12" customHeight="1" x14ac:dyDescent="0.3">
      <c r="A16" s="163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61"/>
      <c r="N16" s="169"/>
      <c r="O16" s="175" t="s">
        <v>128</v>
      </c>
      <c r="P16" s="155"/>
      <c r="Q16" s="175"/>
      <c r="R16" s="176"/>
      <c r="S16" s="177"/>
      <c r="T16" s="158"/>
      <c r="W16" s="132"/>
      <c r="Y16" s="183"/>
      <c r="AC16" s="170"/>
      <c r="AD16" s="130"/>
      <c r="AE16" s="129"/>
    </row>
    <row r="17" spans="1:36" ht="13.5" customHeight="1" x14ac:dyDescent="0.25">
      <c r="A17" s="184" t="s">
        <v>166</v>
      </c>
      <c r="B17" s="147" t="s">
        <v>165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61"/>
      <c r="N17" s="158" t="s">
        <v>128</v>
      </c>
      <c r="O17" s="175" t="s">
        <v>164</v>
      </c>
      <c r="P17" s="155"/>
      <c r="Q17" s="175" t="s">
        <v>133</v>
      </c>
      <c r="R17" s="185">
        <f>SUM(R9:R16)</f>
        <v>71709</v>
      </c>
      <c r="S17" s="177"/>
      <c r="T17" s="186"/>
      <c r="AC17" s="170"/>
      <c r="AD17" s="130"/>
      <c r="AE17" s="129"/>
    </row>
    <row r="18" spans="1:36" ht="13.5" customHeight="1" x14ac:dyDescent="0.25">
      <c r="A18" s="187" t="s">
        <v>163</v>
      </c>
      <c r="B18" s="147" t="s">
        <v>162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61"/>
      <c r="N18" s="419" t="s">
        <v>161</v>
      </c>
      <c r="O18" s="420"/>
      <c r="P18" s="420"/>
      <c r="Q18" s="420"/>
      <c r="R18" s="420"/>
      <c r="S18" s="420"/>
      <c r="T18" s="421"/>
      <c r="AC18" s="170"/>
      <c r="AD18" s="130"/>
      <c r="AE18" s="129"/>
    </row>
    <row r="19" spans="1:36" ht="13.5" customHeight="1" x14ac:dyDescent="0.25">
      <c r="A19" s="188" t="s">
        <v>160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8"/>
      <c r="N19" s="422"/>
      <c r="O19" s="423"/>
      <c r="P19" s="423"/>
      <c r="Q19" s="423"/>
      <c r="R19" s="423"/>
      <c r="S19" s="423"/>
      <c r="T19" s="424"/>
      <c r="AC19" s="170"/>
      <c r="AD19" s="130"/>
      <c r="AE19" s="129"/>
    </row>
    <row r="20" spans="1:36" ht="13.5" customHeight="1" x14ac:dyDescent="0.3">
      <c r="A20" s="131" t="s">
        <v>159</v>
      </c>
      <c r="B20" s="189"/>
      <c r="C20" s="189"/>
      <c r="D20" s="189"/>
      <c r="E20" s="189"/>
      <c r="F20" s="190"/>
      <c r="G20" s="189"/>
      <c r="H20" s="173"/>
      <c r="I20" s="147" t="s">
        <v>158</v>
      </c>
      <c r="J20" s="147"/>
      <c r="K20" s="147" t="s">
        <v>133</v>
      </c>
      <c r="L20" s="191">
        <f>g_gapok</f>
        <v>5717600</v>
      </c>
      <c r="M20" s="161"/>
      <c r="N20" s="169" t="s">
        <v>157</v>
      </c>
      <c r="O20" s="408" t="s">
        <v>156</v>
      </c>
      <c r="P20" s="409"/>
      <c r="Q20" s="408" t="s">
        <v>155</v>
      </c>
      <c r="R20" s="409"/>
      <c r="S20" s="408" t="s">
        <v>154</v>
      </c>
      <c r="T20" s="409"/>
      <c r="AC20" s="170"/>
      <c r="AD20" s="130"/>
      <c r="AE20" s="129"/>
    </row>
    <row r="21" spans="1:36" ht="13.5" customHeight="1" x14ac:dyDescent="0.3">
      <c r="A21" s="131" t="s">
        <v>153</v>
      </c>
      <c r="B21" s="192"/>
      <c r="C21" s="192"/>
      <c r="D21" s="147"/>
      <c r="E21" s="192"/>
      <c r="F21" s="190"/>
      <c r="G21" s="193"/>
      <c r="H21" s="193"/>
      <c r="I21" s="147" t="s">
        <v>152</v>
      </c>
      <c r="J21" s="147"/>
      <c r="K21" s="147" t="s">
        <v>133</v>
      </c>
      <c r="L21" s="191">
        <f>g_keluarga</f>
        <v>743288</v>
      </c>
      <c r="M21" s="161"/>
      <c r="N21" s="169">
        <v>1</v>
      </c>
      <c r="O21" s="175" t="s">
        <v>151</v>
      </c>
      <c r="P21" s="155"/>
      <c r="Q21" s="175" t="s">
        <v>133</v>
      </c>
      <c r="R21" s="176" t="s">
        <v>128</v>
      </c>
      <c r="S21" s="194"/>
      <c r="T21" s="158"/>
      <c r="AC21" s="170"/>
      <c r="AD21" s="130"/>
      <c r="AE21" s="129"/>
    </row>
    <row r="22" spans="1:36" ht="13.5" customHeight="1" x14ac:dyDescent="0.3">
      <c r="A22" s="131" t="s">
        <v>150</v>
      </c>
      <c r="B22" s="192"/>
      <c r="C22" s="192"/>
      <c r="D22" s="147"/>
      <c r="E22" s="192"/>
      <c r="F22" s="190"/>
      <c r="G22" s="193"/>
      <c r="H22" s="193"/>
      <c r="I22" s="147" t="s">
        <v>149</v>
      </c>
      <c r="J22" s="147"/>
      <c r="K22" s="147" t="s">
        <v>133</v>
      </c>
      <c r="L22" s="191">
        <f>gtjab</f>
        <v>0</v>
      </c>
      <c r="M22" s="161"/>
      <c r="N22" s="169">
        <v>2</v>
      </c>
      <c r="O22" s="175" t="s">
        <v>148</v>
      </c>
      <c r="P22" s="155"/>
      <c r="Q22" s="175" t="s">
        <v>133</v>
      </c>
      <c r="R22" s="158"/>
      <c r="S22" s="175"/>
      <c r="T22" s="158"/>
      <c r="AA22" s="170"/>
      <c r="AB22" s="130"/>
      <c r="AC22" s="129"/>
      <c r="AH22" s="195"/>
    </row>
    <row r="23" spans="1:36" ht="13.5" customHeight="1" x14ac:dyDescent="0.25">
      <c r="A23" s="184"/>
      <c r="B23" s="192"/>
      <c r="C23" s="192"/>
      <c r="D23" s="147"/>
      <c r="E23" s="192"/>
      <c r="F23" s="190"/>
      <c r="G23" s="193"/>
      <c r="H23" s="193"/>
      <c r="I23" s="147" t="s">
        <v>147</v>
      </c>
      <c r="J23" s="147"/>
      <c r="K23" s="147" t="s">
        <v>133</v>
      </c>
      <c r="L23" s="191">
        <v>0</v>
      </c>
      <c r="M23" s="161"/>
      <c r="N23" s="169"/>
      <c r="O23" s="175"/>
      <c r="P23" s="155"/>
      <c r="Q23" s="175"/>
      <c r="R23" s="186"/>
      <c r="S23" s="196"/>
      <c r="T23" s="158"/>
      <c r="AA23" s="170"/>
      <c r="AB23" s="130"/>
      <c r="AC23" s="129"/>
      <c r="AH23" s="195"/>
    </row>
    <row r="24" spans="1:36" ht="13.5" customHeight="1" x14ac:dyDescent="0.3">
      <c r="A24" s="131" t="s">
        <v>146</v>
      </c>
      <c r="B24" s="192"/>
      <c r="C24" s="192"/>
      <c r="D24" s="147"/>
      <c r="E24" s="192"/>
      <c r="F24" s="190"/>
      <c r="G24" s="193"/>
      <c r="H24" s="193"/>
      <c r="I24" s="147" t="s">
        <v>145</v>
      </c>
      <c r="J24" s="150"/>
      <c r="K24" s="147" t="s">
        <v>133</v>
      </c>
      <c r="L24" s="191">
        <f>gtmum</f>
        <v>0</v>
      </c>
      <c r="M24" s="161"/>
      <c r="N24" s="169"/>
      <c r="O24" s="175" t="s">
        <v>144</v>
      </c>
      <c r="P24" s="155"/>
      <c r="Q24" s="175" t="s">
        <v>133</v>
      </c>
      <c r="R24" s="186" t="s">
        <v>128</v>
      </c>
      <c r="S24" s="196"/>
      <c r="T24" s="158"/>
      <c r="V24" s="197"/>
      <c r="AA24" s="170"/>
      <c r="AB24" s="130"/>
      <c r="AC24" s="129"/>
      <c r="AH24" s="195"/>
    </row>
    <row r="25" spans="1:36" ht="13.5" customHeight="1" x14ac:dyDescent="0.3">
      <c r="A25" s="131" t="s">
        <v>143</v>
      </c>
      <c r="B25" s="192"/>
      <c r="C25" s="192"/>
      <c r="D25" s="147"/>
      <c r="E25" s="192"/>
      <c r="F25" s="190"/>
      <c r="G25" s="193"/>
      <c r="H25" s="193"/>
      <c r="I25" s="147" t="s">
        <v>142</v>
      </c>
      <c r="J25" s="147"/>
      <c r="K25" s="147" t="s">
        <v>133</v>
      </c>
      <c r="L25" s="191">
        <f>gtras</f>
        <v>506940</v>
      </c>
      <c r="M25" s="161"/>
      <c r="N25" s="198"/>
      <c r="O25" s="155" t="s">
        <v>141</v>
      </c>
      <c r="P25" s="155"/>
      <c r="Q25" s="155" t="s">
        <v>140</v>
      </c>
      <c r="R25" s="177"/>
      <c r="S25" s="177"/>
      <c r="T25" s="199">
        <f>L30-R17</f>
        <v>6896200</v>
      </c>
      <c r="AA25" s="170"/>
      <c r="AB25" s="130"/>
      <c r="AC25" s="129"/>
      <c r="AH25" s="195"/>
    </row>
    <row r="26" spans="1:36" ht="13.5" customHeight="1" x14ac:dyDescent="0.3">
      <c r="A26" s="131" t="s">
        <v>139</v>
      </c>
      <c r="B26" s="192"/>
      <c r="C26" s="192"/>
      <c r="D26" s="147"/>
      <c r="E26" s="192"/>
      <c r="F26" s="190"/>
      <c r="G26" s="193"/>
      <c r="H26" s="193"/>
      <c r="I26" s="147" t="s">
        <v>138</v>
      </c>
      <c r="J26" s="147"/>
      <c r="K26" s="147" t="s">
        <v>133</v>
      </c>
      <c r="L26" s="191">
        <f>gpjak</f>
        <v>0</v>
      </c>
      <c r="M26" s="161"/>
      <c r="N26" s="165" t="s">
        <v>137</v>
      </c>
      <c r="O26" s="165"/>
      <c r="P26" s="410" t="e" cm="1">
        <f t="array" aca="1" ref="P26" ca="1">PROPER([1]!terbilang(T25)&amp;" rupiah")</f>
        <v>#NAME?</v>
      </c>
      <c r="Q26" s="410"/>
      <c r="R26" s="410"/>
      <c r="S26" s="410"/>
      <c r="T26" s="411"/>
      <c r="AA26" s="170"/>
      <c r="AB26" s="130"/>
      <c r="AC26" s="129"/>
      <c r="AH26" s="195"/>
    </row>
    <row r="27" spans="1:36" ht="13.5" customHeight="1" x14ac:dyDescent="0.3">
      <c r="A27" s="131" t="s">
        <v>136</v>
      </c>
      <c r="B27" s="192"/>
      <c r="C27" s="192"/>
      <c r="D27" s="147"/>
      <c r="E27" s="192"/>
      <c r="F27" s="190"/>
      <c r="G27" s="193"/>
      <c r="H27" s="193"/>
      <c r="I27" s="147" t="s">
        <v>135</v>
      </c>
      <c r="J27" s="147"/>
      <c r="K27" s="147" t="s">
        <v>133</v>
      </c>
      <c r="L27" s="191">
        <f>gbul</f>
        <v>81</v>
      </c>
      <c r="M27" s="161"/>
      <c r="N27" s="147"/>
      <c r="O27" s="147"/>
      <c r="P27" s="412"/>
      <c r="Q27" s="412"/>
      <c r="R27" s="412"/>
      <c r="S27" s="412"/>
      <c r="T27" s="413"/>
      <c r="AA27" s="170"/>
      <c r="AB27" s="130"/>
      <c r="AC27" s="129"/>
      <c r="AH27" s="195"/>
    </row>
    <row r="28" spans="1:36" ht="8.25" customHeight="1" x14ac:dyDescent="0.3">
      <c r="A28" s="184"/>
      <c r="B28" s="200"/>
      <c r="C28" s="193"/>
      <c r="D28" s="147"/>
      <c r="E28" s="193"/>
      <c r="F28" s="201"/>
      <c r="G28" s="193"/>
      <c r="H28" s="193"/>
      <c r="I28" s="150"/>
      <c r="J28" s="150"/>
      <c r="K28" s="147"/>
      <c r="L28" s="191"/>
      <c r="M28" s="161"/>
      <c r="N28" s="147"/>
      <c r="O28" s="147"/>
      <c r="P28" s="414"/>
      <c r="Q28" s="414"/>
      <c r="R28" s="414"/>
      <c r="S28" s="414"/>
      <c r="T28" s="415"/>
      <c r="W28" s="202"/>
      <c r="AA28" s="170"/>
      <c r="AB28" s="130"/>
      <c r="AC28" s="129"/>
      <c r="AH28" s="195"/>
    </row>
    <row r="29" spans="1:36" ht="9" customHeight="1" x14ac:dyDescent="0.3">
      <c r="A29" s="163"/>
      <c r="B29" s="147"/>
      <c r="C29" s="147"/>
      <c r="D29" s="147"/>
      <c r="E29" s="147"/>
      <c r="F29" s="147"/>
      <c r="G29" s="147"/>
      <c r="H29" s="147"/>
      <c r="I29" s="147"/>
      <c r="J29" s="147"/>
      <c r="K29" s="152"/>
      <c r="L29" s="203"/>
      <c r="M29" s="161"/>
      <c r="N29" s="164"/>
      <c r="O29" s="165"/>
      <c r="P29" s="165"/>
      <c r="Q29" s="165"/>
      <c r="R29" s="204"/>
      <c r="S29" s="204"/>
      <c r="T29" s="205"/>
      <c r="W29" s="202"/>
      <c r="X29" s="202"/>
      <c r="Y29" s="202"/>
      <c r="AC29" s="170"/>
      <c r="AD29" s="130"/>
      <c r="AE29" s="129"/>
      <c r="AJ29" s="195"/>
    </row>
    <row r="30" spans="1:36" ht="13.5" customHeight="1" x14ac:dyDescent="0.3">
      <c r="A30" s="164" t="s">
        <v>134</v>
      </c>
      <c r="B30" s="165"/>
      <c r="C30" s="165"/>
      <c r="D30" s="165"/>
      <c r="E30" s="165"/>
      <c r="F30" s="165"/>
      <c r="G30" s="165"/>
      <c r="H30" s="165"/>
      <c r="I30" s="165"/>
      <c r="J30" s="165"/>
      <c r="K30" s="166" t="s">
        <v>133</v>
      </c>
      <c r="L30" s="206">
        <f>SUM(L20:L29)</f>
        <v>6967909</v>
      </c>
      <c r="M30" s="168"/>
      <c r="N30" s="147"/>
      <c r="O30" s="147"/>
      <c r="P30" s="147"/>
      <c r="Q30" s="147"/>
      <c r="R30" s="403" t="str">
        <f>'SPP1'!G35</f>
        <v>Watumalang, 21 April  2025</v>
      </c>
      <c r="S30" s="403"/>
      <c r="T30" s="404"/>
      <c r="W30" s="202"/>
      <c r="X30" s="202"/>
      <c r="Y30" s="202"/>
      <c r="AC30" s="170"/>
      <c r="AD30" s="130"/>
      <c r="AE30" s="129"/>
      <c r="AJ30" s="195"/>
    </row>
    <row r="31" spans="1:36" ht="8.25" customHeight="1" x14ac:dyDescent="0.3">
      <c r="A31" s="184"/>
      <c r="B31" s="200"/>
      <c r="C31" s="193"/>
      <c r="D31" s="147"/>
      <c r="E31" s="193"/>
      <c r="F31" s="193"/>
      <c r="G31" s="193"/>
      <c r="H31" s="193"/>
      <c r="I31" s="147"/>
      <c r="J31" s="147"/>
      <c r="K31" s="147"/>
      <c r="L31" s="191"/>
      <c r="M31" s="161"/>
      <c r="N31" s="147"/>
      <c r="O31" s="147"/>
      <c r="P31" s="147"/>
      <c r="Q31" s="147"/>
      <c r="R31" s="151"/>
      <c r="S31" s="416"/>
      <c r="T31" s="417"/>
      <c r="W31" s="202"/>
      <c r="X31" s="202"/>
      <c r="Y31" s="202"/>
      <c r="AC31" s="170"/>
      <c r="AD31" s="207"/>
      <c r="AJ31" s="195"/>
    </row>
    <row r="32" spans="1:36" ht="13.5" customHeight="1" x14ac:dyDescent="0.3">
      <c r="A32" s="163" t="s">
        <v>132</v>
      </c>
      <c r="B32" s="147"/>
      <c r="C32" s="147"/>
      <c r="D32" s="147"/>
      <c r="E32" s="147"/>
      <c r="F32" s="147"/>
      <c r="G32" s="147"/>
      <c r="H32" s="152" t="s">
        <v>131</v>
      </c>
      <c r="I32" s="147" t="s">
        <v>130</v>
      </c>
      <c r="J32" s="147"/>
      <c r="K32" s="147"/>
      <c r="L32" s="147"/>
      <c r="M32" s="161"/>
      <c r="N32" s="147"/>
      <c r="O32" s="147"/>
      <c r="P32" s="147"/>
      <c r="Q32" s="147"/>
      <c r="R32" s="416" t="s">
        <v>129</v>
      </c>
      <c r="S32" s="416"/>
      <c r="T32" s="417"/>
      <c r="W32" s="202"/>
      <c r="X32" s="202"/>
      <c r="Y32" s="202"/>
      <c r="AC32" s="170"/>
      <c r="AD32" s="207"/>
      <c r="AJ32" s="195"/>
    </row>
    <row r="33" spans="1:25" ht="10.5" customHeight="1" x14ac:dyDescent="0.3">
      <c r="A33" s="163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91"/>
      <c r="M33" s="161"/>
      <c r="N33" s="147"/>
      <c r="O33" s="147"/>
      <c r="P33" s="147"/>
      <c r="Q33" s="147"/>
      <c r="R33" s="416" t="s">
        <v>128</v>
      </c>
      <c r="S33" s="416"/>
      <c r="T33" s="417"/>
      <c r="W33" s="202"/>
      <c r="X33" s="202"/>
      <c r="Y33" s="202"/>
    </row>
    <row r="34" spans="1:25" ht="9.75" customHeight="1" x14ac:dyDescent="0.3">
      <c r="A34" s="163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208"/>
      <c r="M34" s="161"/>
      <c r="N34" s="163"/>
      <c r="O34" s="147"/>
      <c r="P34" s="147"/>
      <c r="Q34" s="147"/>
      <c r="R34" s="416" t="s">
        <v>128</v>
      </c>
      <c r="S34" s="416"/>
      <c r="T34" s="417"/>
      <c r="W34" s="202"/>
      <c r="X34" s="202"/>
      <c r="Y34" s="202"/>
    </row>
    <row r="35" spans="1:25" ht="10.5" customHeight="1" x14ac:dyDescent="0.3">
      <c r="A35" s="163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208"/>
      <c r="M35" s="161"/>
      <c r="N35" s="147"/>
      <c r="O35" s="147"/>
      <c r="P35" s="147"/>
      <c r="Q35" s="147"/>
      <c r="R35" s="416" t="s">
        <v>128</v>
      </c>
      <c r="S35" s="416"/>
      <c r="T35" s="417"/>
      <c r="W35" s="202"/>
      <c r="X35" s="85"/>
      <c r="Y35" s="85"/>
    </row>
    <row r="36" spans="1:25" ht="11.25" customHeight="1" x14ac:dyDescent="0.3">
      <c r="A36" s="163"/>
      <c r="B36" s="147"/>
      <c r="C36" s="147"/>
      <c r="D36" s="147"/>
      <c r="E36" s="147"/>
      <c r="F36" s="147"/>
      <c r="G36" s="147"/>
      <c r="H36" s="147"/>
      <c r="I36" s="147"/>
      <c r="J36" s="147"/>
      <c r="K36" s="152"/>
      <c r="L36" s="203"/>
      <c r="M36" s="161"/>
      <c r="N36" s="147"/>
      <c r="O36" s="147"/>
      <c r="P36" s="147"/>
      <c r="Q36" s="147"/>
      <c r="R36" s="416" t="s">
        <v>128</v>
      </c>
      <c r="S36" s="416"/>
      <c r="T36" s="417"/>
      <c r="V36" s="128"/>
      <c r="W36" s="202"/>
      <c r="X36" s="85"/>
      <c r="Y36" s="85"/>
    </row>
    <row r="37" spans="1:25" ht="12" customHeight="1" x14ac:dyDescent="0.3">
      <c r="A37" s="163"/>
      <c r="B37" s="147"/>
      <c r="C37" s="147"/>
      <c r="D37" s="147"/>
      <c r="E37" s="147"/>
      <c r="F37" s="147"/>
      <c r="G37" s="147"/>
      <c r="H37" s="147"/>
      <c r="I37" s="147"/>
      <c r="J37" s="147"/>
      <c r="K37" s="152"/>
      <c r="L37" s="203"/>
      <c r="M37" s="161"/>
      <c r="N37" s="147"/>
      <c r="O37" s="147"/>
      <c r="P37" s="147"/>
      <c r="Q37" s="147"/>
      <c r="R37" s="416" t="s">
        <v>128</v>
      </c>
      <c r="S37" s="416"/>
      <c r="T37" s="417"/>
      <c r="V37" s="85"/>
      <c r="W37" s="202"/>
      <c r="X37" s="85"/>
      <c r="Y37" s="85"/>
    </row>
    <row r="38" spans="1:25" ht="13.5" customHeight="1" x14ac:dyDescent="0.3">
      <c r="A38" s="163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208"/>
      <c r="M38" s="161"/>
      <c r="N38" s="147"/>
      <c r="O38" s="147"/>
      <c r="P38" s="147"/>
      <c r="Q38" s="147"/>
      <c r="R38" s="426" t="s">
        <v>127</v>
      </c>
      <c r="S38" s="426"/>
      <c r="T38" s="427"/>
      <c r="W38" s="202"/>
      <c r="X38" s="85"/>
      <c r="Y38" s="85"/>
    </row>
    <row r="39" spans="1:25" ht="13.5" customHeight="1" x14ac:dyDescent="0.3">
      <c r="A39" s="163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61"/>
      <c r="N39" s="147"/>
      <c r="O39" s="147"/>
      <c r="P39" s="147"/>
      <c r="Q39" s="147"/>
      <c r="R39" s="428" t="s">
        <v>126</v>
      </c>
      <c r="S39" s="428"/>
      <c r="T39" s="429"/>
      <c r="W39" s="202"/>
      <c r="X39" s="209"/>
      <c r="Y39" s="209"/>
    </row>
    <row r="40" spans="1:25" ht="13.5" customHeight="1" x14ac:dyDescent="0.3">
      <c r="A40" s="175"/>
      <c r="B40" s="155"/>
      <c r="C40" s="155"/>
      <c r="D40" s="155"/>
      <c r="E40" s="155"/>
      <c r="F40" s="155"/>
      <c r="G40" s="155"/>
      <c r="H40" s="155"/>
      <c r="I40" s="430" t="s">
        <v>125</v>
      </c>
      <c r="J40" s="430"/>
      <c r="K40" s="430"/>
      <c r="L40" s="430"/>
      <c r="M40" s="430"/>
      <c r="N40" s="430"/>
      <c r="O40" s="430"/>
      <c r="P40" s="430"/>
      <c r="Q40" s="430"/>
      <c r="R40" s="155"/>
      <c r="S40" s="155"/>
      <c r="T40" s="158"/>
      <c r="W40" s="202"/>
    </row>
    <row r="41" spans="1:25" ht="17.149999999999999" customHeight="1" x14ac:dyDescent="0.3">
      <c r="A41" s="127"/>
      <c r="B41" s="126"/>
      <c r="C41" s="210"/>
      <c r="D41" s="211"/>
      <c r="E41" s="211"/>
      <c r="F41" s="211"/>
      <c r="G41" s="211"/>
      <c r="H41" s="21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211"/>
      <c r="T41" s="211"/>
      <c r="U41" s="148"/>
      <c r="W41" s="202"/>
      <c r="Y41" s="123"/>
    </row>
    <row r="42" spans="1:25" ht="17.149999999999999" customHeight="1" x14ac:dyDescent="0.3">
      <c r="A42" s="212"/>
      <c r="B42" s="125"/>
      <c r="C42" s="213"/>
      <c r="D42" s="213"/>
      <c r="E42" s="213"/>
      <c r="F42" s="213"/>
      <c r="G42" s="213"/>
      <c r="H42" s="213"/>
      <c r="I42" s="425"/>
      <c r="J42" s="425"/>
      <c r="K42" s="425"/>
      <c r="L42" s="425"/>
      <c r="M42" s="425"/>
      <c r="N42" s="425"/>
      <c r="O42" s="425"/>
      <c r="P42" s="425"/>
      <c r="Q42" s="425"/>
      <c r="R42" s="425"/>
      <c r="S42" s="212"/>
      <c r="T42" s="212"/>
      <c r="V42" s="148"/>
      <c r="W42" s="202"/>
      <c r="Y42" s="123"/>
    </row>
    <row r="43" spans="1:25" ht="17.149999999999999" customHeight="1" x14ac:dyDescent="0.3">
      <c r="A43" s="212"/>
      <c r="B43" s="125"/>
      <c r="C43" s="213"/>
      <c r="D43" s="213"/>
      <c r="E43" s="213"/>
      <c r="F43" s="213"/>
      <c r="G43" s="213"/>
      <c r="H43" s="213"/>
      <c r="I43" s="425"/>
      <c r="J43" s="425"/>
      <c r="K43" s="425"/>
      <c r="L43" s="425"/>
      <c r="M43" s="425"/>
      <c r="N43" s="425"/>
      <c r="O43" s="425"/>
      <c r="P43" s="425"/>
      <c r="Q43" s="425"/>
      <c r="R43" s="425"/>
      <c r="S43" s="212"/>
      <c r="T43" s="212"/>
      <c r="W43" s="202"/>
      <c r="Y43" s="123"/>
    </row>
    <row r="44" spans="1:25" ht="17.149999999999999" customHeight="1" x14ac:dyDescent="0.3">
      <c r="A44" s="212"/>
      <c r="B44" s="125"/>
      <c r="C44" s="213"/>
      <c r="D44" s="213"/>
      <c r="E44" s="213"/>
      <c r="F44" s="213"/>
      <c r="G44" s="213"/>
      <c r="H44" s="213"/>
      <c r="I44" s="213"/>
      <c r="J44" s="213"/>
      <c r="K44" s="213"/>
      <c r="L44" s="214"/>
      <c r="M44" s="214"/>
      <c r="N44" s="214"/>
      <c r="O44" s="214"/>
      <c r="P44" s="214"/>
      <c r="Q44" s="212"/>
      <c r="R44" s="152"/>
      <c r="S44" s="215"/>
      <c r="T44" s="152"/>
      <c r="W44" s="202"/>
      <c r="Y44" s="123"/>
    </row>
  </sheetData>
  <mergeCells count="27">
    <mergeCell ref="I42:R42"/>
    <mergeCell ref="I43:R43"/>
    <mergeCell ref="R32:T32"/>
    <mergeCell ref="R37:T37"/>
    <mergeCell ref="R38:T38"/>
    <mergeCell ref="R39:T39"/>
    <mergeCell ref="R33:T33"/>
    <mergeCell ref="R34:T34"/>
    <mergeCell ref="R35:T35"/>
    <mergeCell ref="R36:T36"/>
    <mergeCell ref="I40:Q40"/>
    <mergeCell ref="I41:R41"/>
    <mergeCell ref="S31:T31"/>
    <mergeCell ref="O8:P8"/>
    <mergeCell ref="Q8:R8"/>
    <mergeCell ref="S8:T8"/>
    <mergeCell ref="N18:T19"/>
    <mergeCell ref="I1:R1"/>
    <mergeCell ref="I2:R2"/>
    <mergeCell ref="I3:R3"/>
    <mergeCell ref="L5:N5"/>
    <mergeCell ref="R30:T30"/>
    <mergeCell ref="A15:M15"/>
    <mergeCell ref="O20:P20"/>
    <mergeCell ref="Q20:R20"/>
    <mergeCell ref="S20:T20"/>
    <mergeCell ref="P26:T28"/>
  </mergeCells>
  <printOptions horizontalCentered="1"/>
  <pageMargins left="1.2" right="0.12" top="0.7" bottom="0.11811023599999999" header="0.22" footer="0"/>
  <pageSetup paperSize="5" scale="85" orientation="landscape" horizontalDpi="4294967293" verticalDpi="180" copies="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A8AD-E063-4D75-9D1B-F3F7D0813653}">
  <sheetPr>
    <tabColor rgb="FF00B050"/>
  </sheetPr>
  <dimension ref="A1:AG71"/>
  <sheetViews>
    <sheetView view="pageBreakPreview" zoomScale="66" zoomScaleNormal="71" zoomScaleSheetLayoutView="25"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I51" sqref="I51"/>
    </sheetView>
  </sheetViews>
  <sheetFormatPr defaultColWidth="9.1796875" defaultRowHeight="12.5" x14ac:dyDescent="0.25"/>
  <cols>
    <col min="1" max="1" width="3.1796875" style="47" customWidth="1"/>
    <col min="2" max="2" width="15.26953125" style="47" customWidth="1"/>
    <col min="3" max="3" width="14.36328125" style="47" hidden="1" customWidth="1"/>
    <col min="4" max="4" width="6" style="47" bestFit="1" customWidth="1"/>
    <col min="5" max="5" width="6.36328125" style="47" bestFit="1" customWidth="1"/>
    <col min="6" max="6" width="6.90625" style="47" customWidth="1"/>
    <col min="7" max="7" width="6.08984375" style="47" bestFit="1" customWidth="1"/>
    <col min="8" max="8" width="13.54296875" style="47" customWidth="1"/>
    <col min="9" max="9" width="6" style="47" bestFit="1" customWidth="1"/>
    <col min="10" max="10" width="6.36328125" style="47" bestFit="1" customWidth="1"/>
    <col min="11" max="11" width="7" style="47" bestFit="1" customWidth="1"/>
    <col min="12" max="12" width="6.08984375" style="47" bestFit="1" customWidth="1"/>
    <col min="13" max="13" width="14.1796875" style="47" customWidth="1"/>
    <col min="14" max="14" width="11" style="47" customWidth="1"/>
    <col min="15" max="15" width="10" style="47" customWidth="1"/>
    <col min="16" max="16" width="11" style="47" customWidth="1"/>
    <col min="17" max="17" width="10.54296875" style="47" customWidth="1"/>
    <col min="18" max="18" width="11" style="47" customWidth="1"/>
    <col min="19" max="19" width="10.54296875" style="47" customWidth="1"/>
    <col min="20" max="20" width="11" style="47" customWidth="1"/>
    <col min="21" max="21" width="10.54296875" style="47" customWidth="1"/>
    <col min="22" max="22" width="11" style="47" customWidth="1"/>
    <col min="23" max="23" width="15.1796875" style="47" customWidth="1"/>
    <col min="24" max="24" width="11.7265625" style="47" customWidth="1"/>
    <col min="25" max="25" width="17.453125" style="47" customWidth="1"/>
    <col min="26" max="26" width="14" style="47" customWidth="1"/>
    <col min="27" max="27" width="15.1796875" style="47" bestFit="1" customWidth="1"/>
    <col min="28" max="28" width="13.81640625" style="47" bestFit="1" customWidth="1"/>
    <col min="29" max="29" width="15.26953125" style="47" customWidth="1"/>
    <col min="30" max="16384" width="9.1796875" style="47"/>
  </cols>
  <sheetData>
    <row r="1" spans="1:29" ht="13.5" customHeight="1" x14ac:dyDescent="0.35">
      <c r="A1" s="433" t="s">
        <v>86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6"/>
    </row>
    <row r="2" spans="1:29" ht="13.5" customHeight="1" x14ac:dyDescent="0.3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9" ht="13.5" customHeight="1" x14ac:dyDescent="0.35">
      <c r="A3" s="49" t="s">
        <v>87</v>
      </c>
      <c r="B3" s="49"/>
      <c r="C3" s="49"/>
      <c r="D3" s="49"/>
      <c r="E3" s="49"/>
      <c r="F3" s="50" t="str">
        <f>": "&amp;'SPP1'!E26</f>
        <v>: MEI 2025</v>
      </c>
      <c r="G3" s="51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</row>
    <row r="4" spans="1:29" ht="13.5" customHeight="1" x14ac:dyDescent="0.35">
      <c r="A4" s="49" t="s">
        <v>88</v>
      </c>
      <c r="B4" s="49"/>
      <c r="C4" s="49"/>
      <c r="D4" s="49"/>
      <c r="E4" s="49"/>
      <c r="F4" s="49" t="s">
        <v>89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</row>
    <row r="5" spans="1:29" ht="13.5" customHeight="1" x14ac:dyDescent="0.35">
      <c r="A5" s="52" t="s">
        <v>90</v>
      </c>
      <c r="B5" s="52"/>
      <c r="C5" s="52"/>
      <c r="D5" s="52"/>
      <c r="E5" s="52"/>
      <c r="F5" s="52" t="s">
        <v>91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</row>
    <row r="6" spans="1:29" ht="14" x14ac:dyDescent="0.3">
      <c r="A6" s="54"/>
      <c r="B6" s="54" t="s">
        <v>92</v>
      </c>
      <c r="C6" s="54"/>
      <c r="D6" s="434" t="s">
        <v>93</v>
      </c>
      <c r="E6" s="434"/>
      <c r="F6" s="434"/>
      <c r="G6" s="434"/>
      <c r="H6" s="434"/>
      <c r="I6" s="434" t="s">
        <v>94</v>
      </c>
      <c r="J6" s="434"/>
      <c r="K6" s="434"/>
      <c r="L6" s="434"/>
      <c r="M6" s="434"/>
      <c r="N6" s="434" t="s">
        <v>95</v>
      </c>
      <c r="O6" s="434"/>
      <c r="P6" s="434"/>
      <c r="Q6" s="434"/>
      <c r="R6" s="434"/>
      <c r="S6" s="434"/>
      <c r="T6" s="434"/>
      <c r="U6" s="434"/>
      <c r="V6" s="434"/>
      <c r="W6" s="434"/>
    </row>
    <row r="7" spans="1:29" ht="14" x14ac:dyDescent="0.3">
      <c r="A7" s="55" t="s">
        <v>59</v>
      </c>
      <c r="B7" s="55" t="s">
        <v>96</v>
      </c>
      <c r="C7" s="55"/>
      <c r="D7" s="435" t="s">
        <v>97</v>
      </c>
      <c r="E7" s="437" t="s">
        <v>98</v>
      </c>
      <c r="F7" s="437" t="s">
        <v>42</v>
      </c>
      <c r="G7" s="437" t="s">
        <v>99</v>
      </c>
      <c r="H7" s="437" t="s">
        <v>100</v>
      </c>
      <c r="I7" s="437" t="s">
        <v>97</v>
      </c>
      <c r="J7" s="437" t="s">
        <v>98</v>
      </c>
      <c r="K7" s="437" t="s">
        <v>42</v>
      </c>
      <c r="L7" s="437" t="s">
        <v>99</v>
      </c>
      <c r="M7" s="437" t="s">
        <v>100</v>
      </c>
      <c r="N7" s="434" t="s">
        <v>2</v>
      </c>
      <c r="O7" s="434"/>
      <c r="P7" s="434" t="s">
        <v>98</v>
      </c>
      <c r="Q7" s="434"/>
      <c r="R7" s="434" t="s">
        <v>42</v>
      </c>
      <c r="S7" s="434"/>
      <c r="T7" s="434" t="s">
        <v>99</v>
      </c>
      <c r="U7" s="434"/>
      <c r="V7" s="440" t="s">
        <v>101</v>
      </c>
      <c r="W7" s="441"/>
    </row>
    <row r="8" spans="1:29" ht="14" x14ac:dyDescent="0.3">
      <c r="A8" s="56"/>
      <c r="B8" s="57"/>
      <c r="C8" s="57"/>
      <c r="D8" s="436"/>
      <c r="E8" s="437"/>
      <c r="F8" s="437"/>
      <c r="G8" s="437"/>
      <c r="H8" s="437"/>
      <c r="I8" s="437"/>
      <c r="J8" s="437"/>
      <c r="K8" s="437"/>
      <c r="L8" s="437"/>
      <c r="M8" s="437"/>
      <c r="N8" s="58" t="s">
        <v>102</v>
      </c>
      <c r="O8" s="58" t="s">
        <v>103</v>
      </c>
      <c r="P8" s="58" t="s">
        <v>102</v>
      </c>
      <c r="Q8" s="58" t="s">
        <v>103</v>
      </c>
      <c r="R8" s="58" t="s">
        <v>102</v>
      </c>
      <c r="S8" s="58" t="s">
        <v>103</v>
      </c>
      <c r="T8" s="58" t="s">
        <v>102</v>
      </c>
      <c r="U8" s="58" t="s">
        <v>103</v>
      </c>
      <c r="V8" s="58" t="s">
        <v>102</v>
      </c>
      <c r="W8" s="58" t="s">
        <v>103</v>
      </c>
    </row>
    <row r="9" spans="1:29" ht="15.5" x14ac:dyDescent="0.35">
      <c r="A9" s="59">
        <v>1</v>
      </c>
      <c r="B9" s="59">
        <v>2</v>
      </c>
      <c r="C9" s="59"/>
      <c r="D9" s="59">
        <v>3</v>
      </c>
      <c r="E9" s="59">
        <v>4</v>
      </c>
      <c r="F9" s="59">
        <v>5</v>
      </c>
      <c r="G9" s="59">
        <v>6</v>
      </c>
      <c r="H9" s="59">
        <v>7</v>
      </c>
      <c r="I9" s="59">
        <v>8</v>
      </c>
      <c r="J9" s="59">
        <v>9</v>
      </c>
      <c r="K9" s="59">
        <v>10</v>
      </c>
      <c r="L9" s="59">
        <v>11</v>
      </c>
      <c r="M9" s="59">
        <v>12</v>
      </c>
      <c r="N9" s="59">
        <v>13</v>
      </c>
      <c r="O9" s="59">
        <v>14</v>
      </c>
      <c r="P9" s="59">
        <v>15</v>
      </c>
      <c r="Q9" s="59">
        <v>16</v>
      </c>
      <c r="R9" s="59">
        <v>17</v>
      </c>
      <c r="S9" s="59">
        <v>18</v>
      </c>
      <c r="T9" s="59">
        <v>19</v>
      </c>
      <c r="U9" s="59">
        <v>20</v>
      </c>
      <c r="V9" s="59">
        <v>21</v>
      </c>
      <c r="W9" s="59">
        <v>22</v>
      </c>
      <c r="Y9" s="60"/>
    </row>
    <row r="10" spans="1:29" ht="20.149999999999999" customHeight="1" x14ac:dyDescent="0.35">
      <c r="A10" s="61">
        <v>1</v>
      </c>
      <c r="B10" s="62" t="s">
        <v>104</v>
      </c>
      <c r="C10" s="62" t="s">
        <v>13</v>
      </c>
      <c r="D10" s="63"/>
      <c r="E10" s="63"/>
      <c r="F10" s="63"/>
      <c r="G10" s="63">
        <f>SUM(D10:F10)</f>
        <v>0</v>
      </c>
      <c r="H10" s="63"/>
      <c r="I10" s="63">
        <f>SUMIF(gol_C,C10,peg_c)</f>
        <v>0</v>
      </c>
      <c r="J10" s="63">
        <f>SUMIF(gol_C,C10,istri_C)</f>
        <v>0</v>
      </c>
      <c r="K10" s="63">
        <f>SUMIF(gol_C,C10,anak_C)</f>
        <v>0</v>
      </c>
      <c r="L10" s="63">
        <f>SUM(I10:K10)</f>
        <v>0</v>
      </c>
      <c r="M10" s="63">
        <f>SUMIF(gol_C,C10,c_jukot)</f>
        <v>0</v>
      </c>
      <c r="N10" s="63"/>
      <c r="O10" s="63">
        <f>D10-I10</f>
        <v>0</v>
      </c>
      <c r="P10" s="63"/>
      <c r="Q10" s="63"/>
      <c r="R10" s="63"/>
      <c r="S10" s="63"/>
      <c r="T10" s="63"/>
      <c r="U10" s="63"/>
      <c r="V10" s="63"/>
      <c r="W10" s="63">
        <f>H10-M10</f>
        <v>0</v>
      </c>
    </row>
    <row r="11" spans="1:29" ht="20.149999999999999" customHeight="1" x14ac:dyDescent="0.35">
      <c r="A11" s="64"/>
      <c r="B11" s="65" t="s">
        <v>105</v>
      </c>
      <c r="C11" s="65" t="s">
        <v>51</v>
      </c>
      <c r="D11" s="63"/>
      <c r="E11" s="63"/>
      <c r="F11" s="63"/>
      <c r="G11" s="63">
        <f t="shared" ref="G11:G13" si="0">SUM(D11:F11)</f>
        <v>0</v>
      </c>
      <c r="H11" s="63"/>
      <c r="I11" s="63">
        <f>SUMIF(gol_C,C11,peg_c)</f>
        <v>0</v>
      </c>
      <c r="J11" s="63">
        <f>SUMIF(gol_C,C11,istri_C)</f>
        <v>0</v>
      </c>
      <c r="K11" s="63">
        <f>SUMIF(gol_C,C11,anak_C)</f>
        <v>0</v>
      </c>
      <c r="L11" s="63">
        <f t="shared" ref="L11:L13" si="1">SUM(I11:K11)</f>
        <v>0</v>
      </c>
      <c r="M11" s="63">
        <f>SUMIF(gol_C,C11,c_jukot)</f>
        <v>0</v>
      </c>
      <c r="N11" s="63"/>
      <c r="O11" s="63">
        <f>D11-I11</f>
        <v>0</v>
      </c>
      <c r="P11" s="63"/>
      <c r="Q11" s="63"/>
      <c r="R11" s="63"/>
      <c r="S11" s="63"/>
      <c r="T11" s="63"/>
      <c r="U11" s="63"/>
      <c r="V11" s="63"/>
      <c r="W11" s="63">
        <f>H11-M11</f>
        <v>0</v>
      </c>
      <c r="Y11" s="66"/>
      <c r="Z11" s="67"/>
      <c r="AA11" s="68"/>
      <c r="AB11" s="69"/>
      <c r="AC11" s="68"/>
    </row>
    <row r="12" spans="1:29" ht="20.149999999999999" customHeight="1" x14ac:dyDescent="0.35">
      <c r="A12" s="64"/>
      <c r="B12" s="65" t="s">
        <v>106</v>
      </c>
      <c r="C12" s="65" t="s">
        <v>24</v>
      </c>
      <c r="D12" s="63"/>
      <c r="E12" s="63"/>
      <c r="F12" s="63"/>
      <c r="G12" s="63">
        <f t="shared" si="0"/>
        <v>0</v>
      </c>
      <c r="H12" s="63"/>
      <c r="I12" s="63">
        <f>SUMIF(gol_C,C12,peg_c)</f>
        <v>0</v>
      </c>
      <c r="J12" s="63">
        <f>SUMIF(gol_C,C12,istri_C)</f>
        <v>0</v>
      </c>
      <c r="K12" s="63">
        <f>SUMIF(gol_C,C12,anak_C)</f>
        <v>0</v>
      </c>
      <c r="L12" s="63">
        <f t="shared" si="1"/>
        <v>0</v>
      </c>
      <c r="M12" s="63">
        <f>SUMIF(gol_C,C12,c_jukot)</f>
        <v>0</v>
      </c>
      <c r="N12" s="63"/>
      <c r="O12" s="63">
        <f>D12-I12</f>
        <v>0</v>
      </c>
      <c r="P12" s="63"/>
      <c r="Q12" s="63"/>
      <c r="R12" s="63"/>
      <c r="S12" s="63"/>
      <c r="T12" s="63"/>
      <c r="U12" s="63"/>
      <c r="V12" s="63"/>
      <c r="W12" s="63">
        <f>H12-M12</f>
        <v>0</v>
      </c>
      <c r="Y12" s="70"/>
      <c r="Z12" s="71"/>
      <c r="AA12" s="72"/>
      <c r="AB12" s="70"/>
      <c r="AC12" s="70"/>
    </row>
    <row r="13" spans="1:29" ht="20.149999999999999" customHeight="1" x14ac:dyDescent="0.35">
      <c r="A13" s="64"/>
      <c r="B13" s="65" t="s">
        <v>107</v>
      </c>
      <c r="C13" s="65" t="s">
        <v>15</v>
      </c>
      <c r="D13" s="63"/>
      <c r="E13" s="63"/>
      <c r="F13" s="63"/>
      <c r="G13" s="63">
        <f t="shared" si="0"/>
        <v>0</v>
      </c>
      <c r="H13" s="63"/>
      <c r="I13" s="63">
        <f>SUMIF(gol_C,C13,peg_c)</f>
        <v>0</v>
      </c>
      <c r="J13" s="63">
        <f>SUMIF(gol_C,C13,istri_C)</f>
        <v>0</v>
      </c>
      <c r="K13" s="63">
        <f>SUMIF(gol_C,C13,anak_C)</f>
        <v>0</v>
      </c>
      <c r="L13" s="63">
        <f t="shared" si="1"/>
        <v>0</v>
      </c>
      <c r="M13" s="63">
        <f>SUMIF(gol_C,C13,c_jukot)</f>
        <v>0</v>
      </c>
      <c r="N13" s="63"/>
      <c r="O13" s="63">
        <f>D13-I13</f>
        <v>0</v>
      </c>
      <c r="P13" s="63"/>
      <c r="Q13" s="63"/>
      <c r="R13" s="63"/>
      <c r="S13" s="63"/>
      <c r="T13" s="63"/>
      <c r="U13" s="63"/>
      <c r="V13" s="63"/>
      <c r="W13" s="63">
        <f>H13-M13</f>
        <v>0</v>
      </c>
      <c r="Y13" s="70"/>
      <c r="Z13" s="71"/>
      <c r="AA13" s="72"/>
      <c r="AB13" s="70"/>
      <c r="AC13" s="70"/>
    </row>
    <row r="14" spans="1:29" s="76" customFormat="1" ht="20.149999999999999" customHeight="1" x14ac:dyDescent="0.35">
      <c r="A14" s="73"/>
      <c r="B14" s="74" t="s">
        <v>108</v>
      </c>
      <c r="C14" s="74"/>
      <c r="D14" s="75">
        <f>SUM(D10:D13)</f>
        <v>0</v>
      </c>
      <c r="E14" s="75">
        <f t="shared" ref="E14:F14" si="2">SUM(E10:E13)</f>
        <v>0</v>
      </c>
      <c r="F14" s="75">
        <f t="shared" si="2"/>
        <v>0</v>
      </c>
      <c r="G14" s="75">
        <f>SUM(D14:F14)</f>
        <v>0</v>
      </c>
      <c r="H14" s="75">
        <f t="shared" ref="H14" si="3">SUM(H10:H13)</f>
        <v>0</v>
      </c>
      <c r="I14" s="75">
        <f>SUM(I10:I13)</f>
        <v>0</v>
      </c>
      <c r="J14" s="75">
        <f t="shared" ref="J14:K14" si="4">SUM(J10:J13)</f>
        <v>0</v>
      </c>
      <c r="K14" s="75">
        <f t="shared" si="4"/>
        <v>0</v>
      </c>
      <c r="L14" s="75">
        <f>SUM(I14:K14)</f>
        <v>0</v>
      </c>
      <c r="M14" s="75">
        <f t="shared" ref="M14" si="5">SUM(M10:M13)</f>
        <v>0</v>
      </c>
      <c r="N14" s="75">
        <f t="shared" ref="N14:U14" si="6">SUM(N10:N13)</f>
        <v>0</v>
      </c>
      <c r="O14" s="75">
        <f t="shared" si="6"/>
        <v>0</v>
      </c>
      <c r="P14" s="75">
        <f t="shared" si="6"/>
        <v>0</v>
      </c>
      <c r="Q14" s="75">
        <f t="shared" si="6"/>
        <v>0</v>
      </c>
      <c r="R14" s="75">
        <f t="shared" si="6"/>
        <v>0</v>
      </c>
      <c r="S14" s="75">
        <f t="shared" si="6"/>
        <v>0</v>
      </c>
      <c r="T14" s="75">
        <f t="shared" si="6"/>
        <v>0</v>
      </c>
      <c r="U14" s="75">
        <f t="shared" si="6"/>
        <v>0</v>
      </c>
      <c r="V14" s="75">
        <f>V10+V11+V12+V13</f>
        <v>0</v>
      </c>
      <c r="W14" s="75">
        <f>SUM(W10:W13)</f>
        <v>0</v>
      </c>
      <c r="Y14" s="70"/>
      <c r="Z14" s="71"/>
      <c r="AA14" s="72"/>
      <c r="AB14" s="70"/>
      <c r="AC14" s="70"/>
    </row>
    <row r="15" spans="1:29" ht="20.149999999999999" customHeight="1" x14ac:dyDescent="0.35">
      <c r="A15" s="61">
        <v>2</v>
      </c>
      <c r="B15" s="65" t="s">
        <v>109</v>
      </c>
      <c r="C15" s="65" t="s">
        <v>283</v>
      </c>
      <c r="D15" s="63"/>
      <c r="E15" s="63"/>
      <c r="F15" s="63"/>
      <c r="G15" s="63">
        <f>SUM(D15:F15)</f>
        <v>0</v>
      </c>
      <c r="H15" s="63"/>
      <c r="I15" s="63">
        <f>SUMIF(gol_C,C15,peg_c)</f>
        <v>0</v>
      </c>
      <c r="J15" s="63">
        <f>SUMIF(gol_C,C15,istri_C)</f>
        <v>0</v>
      </c>
      <c r="K15" s="63">
        <f>SUMIF(gol_C,C15,anak_C)</f>
        <v>0</v>
      </c>
      <c r="L15" s="63">
        <f>SUM(I15:K15)</f>
        <v>0</v>
      </c>
      <c r="M15" s="63">
        <f>SUMIF(gol_C,C15,c_jukot)</f>
        <v>0</v>
      </c>
      <c r="N15" s="63"/>
      <c r="O15" s="63"/>
      <c r="P15" s="63"/>
      <c r="Q15" s="63"/>
      <c r="R15" s="63"/>
      <c r="S15" s="63"/>
      <c r="T15" s="63"/>
      <c r="U15" s="63"/>
      <c r="V15" s="75"/>
      <c r="W15" s="63">
        <f>H15-M15</f>
        <v>0</v>
      </c>
      <c r="Y15" s="70"/>
      <c r="Z15" s="71"/>
      <c r="AA15" s="72"/>
      <c r="AB15" s="77"/>
      <c r="AC15" s="70"/>
    </row>
    <row r="16" spans="1:29" ht="20.149999999999999" customHeight="1" x14ac:dyDescent="0.35">
      <c r="A16" s="64"/>
      <c r="B16" s="65" t="s">
        <v>110</v>
      </c>
      <c r="C16" s="65" t="s">
        <v>277</v>
      </c>
      <c r="D16" s="63"/>
      <c r="E16" s="63"/>
      <c r="F16" s="63"/>
      <c r="G16" s="63">
        <f t="shared" ref="G16:G18" si="7">SUM(D16:F16)</f>
        <v>0</v>
      </c>
      <c r="H16" s="63"/>
      <c r="I16" s="63">
        <f>SUMIF(gol_C,C16,peg_c)</f>
        <v>0</v>
      </c>
      <c r="J16" s="63">
        <f>SUMIF(gol_C,C16,istri_C)</f>
        <v>0</v>
      </c>
      <c r="K16" s="63">
        <f>SUMIF(gol_C,C16,anak_C)</f>
        <v>0</v>
      </c>
      <c r="L16" s="63">
        <f t="shared" ref="L16:L18" si="8">SUM(I16:K16)</f>
        <v>0</v>
      </c>
      <c r="M16" s="63">
        <f>SUMIF(gol_C,C16,c_jukot)</f>
        <v>0</v>
      </c>
      <c r="N16" s="63"/>
      <c r="O16" s="63"/>
      <c r="P16" s="63"/>
      <c r="Q16" s="63"/>
      <c r="R16" s="63"/>
      <c r="S16" s="63"/>
      <c r="T16" s="63"/>
      <c r="U16" s="63"/>
      <c r="V16" s="63"/>
      <c r="W16" s="63">
        <f>H16-M16</f>
        <v>0</v>
      </c>
      <c r="Y16" s="70"/>
      <c r="Z16" s="71"/>
      <c r="AA16" s="79"/>
      <c r="AB16" s="70"/>
      <c r="AC16" s="70"/>
    </row>
    <row r="17" spans="1:33" ht="20.149999999999999" customHeight="1" x14ac:dyDescent="0.35">
      <c r="A17" s="64"/>
      <c r="B17" s="65" t="s">
        <v>111</v>
      </c>
      <c r="C17" s="65" t="s">
        <v>18</v>
      </c>
      <c r="D17" s="63">
        <f>[3]PERBEDAAN!$I$17</f>
        <v>2</v>
      </c>
      <c r="E17" s="63">
        <f>[3]PERBEDAAN!$J$17</f>
        <v>2</v>
      </c>
      <c r="F17" s="63">
        <f>[3]PERBEDAAN!$K$17</f>
        <v>3</v>
      </c>
      <c r="G17" s="63">
        <f t="shared" si="7"/>
        <v>7</v>
      </c>
      <c r="H17" s="63">
        <f>[3]PERBEDAAN!$M$17</f>
        <v>7677909</v>
      </c>
      <c r="I17" s="63">
        <f>SUMIF(gol_C,C17,peg_c)</f>
        <v>2</v>
      </c>
      <c r="J17" s="63">
        <f>SUMIF(gol_C,C17,istri_C)</f>
        <v>2</v>
      </c>
      <c r="K17" s="63">
        <f>SUMIF(gol_C,C17,anak_C)</f>
        <v>3</v>
      </c>
      <c r="L17" s="63">
        <f t="shared" si="8"/>
        <v>7</v>
      </c>
      <c r="M17" s="63">
        <f>SUMIF(gol_C,C17,c_jukot)</f>
        <v>7677909</v>
      </c>
      <c r="N17" s="63"/>
      <c r="O17" s="63"/>
      <c r="P17" s="63"/>
      <c r="Q17" s="63"/>
      <c r="R17" s="63"/>
      <c r="S17" s="63"/>
      <c r="T17" s="63"/>
      <c r="U17" s="63"/>
      <c r="V17" s="63"/>
      <c r="W17" s="63">
        <f>H17-M17</f>
        <v>0</v>
      </c>
      <c r="Y17" s="70"/>
      <c r="Z17" s="80"/>
      <c r="AA17" s="81"/>
      <c r="AB17" s="70"/>
      <c r="AC17" s="77"/>
    </row>
    <row r="18" spans="1:33" ht="20.149999999999999" customHeight="1" x14ac:dyDescent="0.35">
      <c r="A18" s="64"/>
      <c r="B18" s="65" t="s">
        <v>112</v>
      </c>
      <c r="C18" s="65" t="s">
        <v>317</v>
      </c>
      <c r="D18" s="63"/>
      <c r="E18" s="63"/>
      <c r="F18" s="63"/>
      <c r="G18" s="63">
        <f t="shared" si="7"/>
        <v>0</v>
      </c>
      <c r="H18" s="63"/>
      <c r="I18" s="63">
        <f>SUMIF(gol_C,C18,peg_c)</f>
        <v>0</v>
      </c>
      <c r="J18" s="63">
        <f>SUMIF(gol_C,C18,istri_C)</f>
        <v>0</v>
      </c>
      <c r="K18" s="63">
        <f>SUMIF(gol_C,C18,anak_C)</f>
        <v>0</v>
      </c>
      <c r="L18" s="63">
        <f t="shared" si="8"/>
        <v>0</v>
      </c>
      <c r="M18" s="63">
        <f>SUMIF(gol_C,C18,c_jukot)</f>
        <v>0</v>
      </c>
      <c r="N18" s="63"/>
      <c r="O18" s="63"/>
      <c r="P18" s="63"/>
      <c r="Q18" s="63"/>
      <c r="R18" s="63"/>
      <c r="S18" s="63"/>
      <c r="T18" s="63"/>
      <c r="U18" s="63"/>
      <c r="V18" s="75"/>
      <c r="W18" s="63">
        <f>H18-M18</f>
        <v>0</v>
      </c>
      <c r="Y18" s="70"/>
      <c r="Z18" s="70"/>
      <c r="AA18" s="77"/>
      <c r="AB18" s="70"/>
      <c r="AC18" s="70"/>
    </row>
    <row r="19" spans="1:33" s="76" customFormat="1" ht="20.149999999999999" customHeight="1" x14ac:dyDescent="0.35">
      <c r="A19" s="82"/>
      <c r="B19" s="74" t="s">
        <v>113</v>
      </c>
      <c r="C19" s="74"/>
      <c r="D19" s="75">
        <f t="shared" ref="D19:E19" si="9">SUM(D15:D18)</f>
        <v>2</v>
      </c>
      <c r="E19" s="75">
        <f t="shared" si="9"/>
        <v>2</v>
      </c>
      <c r="F19" s="75">
        <f>SUM(F15:F18)</f>
        <v>3</v>
      </c>
      <c r="G19" s="75">
        <f>SUM(D19:F19)</f>
        <v>7</v>
      </c>
      <c r="H19" s="75">
        <f t="shared" ref="H19:J19" si="10">SUM(H15:H18)</f>
        <v>7677909</v>
      </c>
      <c r="I19" s="75">
        <f t="shared" si="10"/>
        <v>2</v>
      </c>
      <c r="J19" s="75">
        <f t="shared" si="10"/>
        <v>2</v>
      </c>
      <c r="K19" s="75">
        <f>SUM(K15:K18)</f>
        <v>3</v>
      </c>
      <c r="L19" s="75">
        <f>SUM(I19:K19)</f>
        <v>7</v>
      </c>
      <c r="M19" s="75">
        <f t="shared" ref="M19" si="11">SUM(M15:M18)</f>
        <v>7677909</v>
      </c>
      <c r="N19" s="75">
        <f>SUM(N15:N18)</f>
        <v>0</v>
      </c>
      <c r="O19" s="75">
        <f>SUM(O15:O18)</f>
        <v>0</v>
      </c>
      <c r="P19" s="75">
        <f>SUM(P15:P18)</f>
        <v>0</v>
      </c>
      <c r="Q19" s="75">
        <f>SUM(Q15:Q18)</f>
        <v>0</v>
      </c>
      <c r="R19" s="75">
        <f t="shared" ref="R19" si="12">SUM(R15:R18)</f>
        <v>0</v>
      </c>
      <c r="S19" s="75">
        <f>SUM(S15:S18)</f>
        <v>0</v>
      </c>
      <c r="T19" s="75">
        <f>SUM(T15:T18)</f>
        <v>0</v>
      </c>
      <c r="U19" s="75">
        <v>0</v>
      </c>
      <c r="V19" s="75">
        <f>SUM(V15:V18)</f>
        <v>0</v>
      </c>
      <c r="W19" s="75">
        <f>W15+W16+W17+W18</f>
        <v>0</v>
      </c>
      <c r="Y19" s="83"/>
      <c r="Z19" s="70"/>
      <c r="AB19" s="70"/>
    </row>
    <row r="20" spans="1:33" ht="20.149999999999999" customHeight="1" x14ac:dyDescent="0.35">
      <c r="A20" s="61">
        <v>3</v>
      </c>
      <c r="B20" s="84" t="s">
        <v>114</v>
      </c>
      <c r="C20" s="84" t="s">
        <v>318</v>
      </c>
      <c r="D20" s="63"/>
      <c r="E20" s="63"/>
      <c r="F20" s="63"/>
      <c r="G20" s="63">
        <f>SUM(D20:F20)</f>
        <v>0</v>
      </c>
      <c r="H20" s="63"/>
      <c r="I20" s="63">
        <f>SUMIF(gol_C,C20,peg_c)</f>
        <v>0</v>
      </c>
      <c r="J20" s="63">
        <f>SUMIF(gol_C,C20,istri_C)</f>
        <v>0</v>
      </c>
      <c r="K20" s="63">
        <f>SUMIF(gol_C,C20,anak_C)</f>
        <v>0</v>
      </c>
      <c r="L20" s="63">
        <f>SUM(I20:K20)</f>
        <v>0</v>
      </c>
      <c r="M20" s="63">
        <f>SUMIF(gol_C,C20,c_jukot)</f>
        <v>0</v>
      </c>
      <c r="N20" s="75">
        <v>0</v>
      </c>
      <c r="O20" s="63">
        <v>0</v>
      </c>
      <c r="P20" s="63">
        <v>0</v>
      </c>
      <c r="Q20" s="63">
        <v>0</v>
      </c>
      <c r="R20" s="63"/>
      <c r="S20" s="63">
        <v>0</v>
      </c>
      <c r="T20" s="63">
        <v>0</v>
      </c>
      <c r="U20" s="63">
        <v>0</v>
      </c>
      <c r="V20" s="63">
        <v>0</v>
      </c>
      <c r="W20" s="63">
        <f>H20-M20</f>
        <v>0</v>
      </c>
      <c r="Z20" s="70"/>
      <c r="AB20" s="76"/>
      <c r="AC20" s="85"/>
    </row>
    <row r="21" spans="1:33" ht="20.149999999999999" customHeight="1" x14ac:dyDescent="0.35">
      <c r="A21" s="64"/>
      <c r="B21" s="84" t="s">
        <v>115</v>
      </c>
      <c r="C21" s="84" t="s">
        <v>319</v>
      </c>
      <c r="D21" s="63"/>
      <c r="E21" s="63"/>
      <c r="F21" s="63"/>
      <c r="G21" s="63">
        <f t="shared" ref="G21:G23" si="13">SUM(D21:F21)</f>
        <v>0</v>
      </c>
      <c r="H21" s="63"/>
      <c r="I21" s="63">
        <f>SUMIF(gol_C,C21,peg_c)</f>
        <v>0</v>
      </c>
      <c r="J21" s="63">
        <f>SUMIF(gol_C,C21,istri_C)</f>
        <v>0</v>
      </c>
      <c r="K21" s="63">
        <f>SUMIF(gol_C,C21,anak_C)</f>
        <v>0</v>
      </c>
      <c r="L21" s="63">
        <f t="shared" ref="L21:L23" si="14">SUM(I21:K21)</f>
        <v>0</v>
      </c>
      <c r="M21" s="63">
        <f>SUMIF(gol_C,C21,c_jukot)</f>
        <v>0</v>
      </c>
      <c r="N21" s="63">
        <f>I21-D21</f>
        <v>0</v>
      </c>
      <c r="O21" s="63">
        <v>0</v>
      </c>
      <c r="P21" s="63">
        <f>J21-E21</f>
        <v>0</v>
      </c>
      <c r="Q21" s="63">
        <v>0</v>
      </c>
      <c r="R21" s="63">
        <f>K21-F21</f>
        <v>0</v>
      </c>
      <c r="S21" s="63">
        <v>0</v>
      </c>
      <c r="T21" s="63">
        <f>L21-G21</f>
        <v>0</v>
      </c>
      <c r="U21" s="63">
        <v>0</v>
      </c>
      <c r="V21" s="63">
        <v>0</v>
      </c>
      <c r="W21" s="63">
        <f>H21-M21</f>
        <v>0</v>
      </c>
      <c r="Y21" s="86"/>
      <c r="Z21" s="87"/>
      <c r="AA21" s="86"/>
      <c r="AC21" s="88"/>
    </row>
    <row r="22" spans="1:33" ht="20.149999999999999" customHeight="1" x14ac:dyDescent="0.35">
      <c r="A22" s="64"/>
      <c r="B22" s="84" t="s">
        <v>116</v>
      </c>
      <c r="C22" s="84" t="s">
        <v>320</v>
      </c>
      <c r="D22" s="63"/>
      <c r="E22" s="63"/>
      <c r="F22" s="63"/>
      <c r="G22" s="63">
        <f t="shared" si="13"/>
        <v>0</v>
      </c>
      <c r="H22" s="63"/>
      <c r="I22" s="63">
        <f>SUMIF(gol_C,C22,peg_c)</f>
        <v>0</v>
      </c>
      <c r="J22" s="63">
        <f>SUMIF(gol_C,C22,istri_C)</f>
        <v>0</v>
      </c>
      <c r="K22" s="63">
        <f>SUMIF(gol_C,C22,anak_C)</f>
        <v>0</v>
      </c>
      <c r="L22" s="63">
        <f t="shared" si="14"/>
        <v>0</v>
      </c>
      <c r="M22" s="63">
        <f>SUMIF(gol_C,C22,c_jukot)</f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/>
      <c r="W22" s="63">
        <f>H22-M22</f>
        <v>0</v>
      </c>
      <c r="Y22" s="87"/>
      <c r="Z22" s="89"/>
      <c r="AA22" s="87"/>
      <c r="AB22" s="88"/>
      <c r="AC22" s="70"/>
    </row>
    <row r="23" spans="1:33" ht="20.149999999999999" customHeight="1" x14ac:dyDescent="0.35">
      <c r="A23" s="64"/>
      <c r="B23" s="84" t="s">
        <v>117</v>
      </c>
      <c r="C23" s="84" t="s">
        <v>321</v>
      </c>
      <c r="D23" s="63"/>
      <c r="E23" s="63"/>
      <c r="F23" s="63"/>
      <c r="G23" s="63">
        <f t="shared" si="13"/>
        <v>0</v>
      </c>
      <c r="H23" s="63"/>
      <c r="I23" s="63">
        <f>SUMIF(gol_C,C23,peg_c)</f>
        <v>0</v>
      </c>
      <c r="J23" s="63">
        <f>SUMIF(gol_C,C23,istri_C)</f>
        <v>0</v>
      </c>
      <c r="K23" s="63">
        <f>SUMIF(gol_C,C23,anak_C)</f>
        <v>0</v>
      </c>
      <c r="L23" s="63">
        <f t="shared" si="14"/>
        <v>0</v>
      </c>
      <c r="M23" s="63">
        <f>SUMIF(gol_C,C23,c_jukot)</f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f>H23-M23</f>
        <v>0</v>
      </c>
      <c r="Y23" s="87"/>
      <c r="Z23" s="87"/>
      <c r="AA23" s="87"/>
    </row>
    <row r="24" spans="1:33" s="76" customFormat="1" ht="20.149999999999999" customHeight="1" x14ac:dyDescent="0.35">
      <c r="A24" s="82"/>
      <c r="B24" s="90" t="s">
        <v>118</v>
      </c>
      <c r="C24" s="90"/>
      <c r="D24" s="75">
        <f t="shared" ref="D24" si="15">SUM(D20:D23)</f>
        <v>0</v>
      </c>
      <c r="E24" s="75">
        <f>SUM(E20:E23)</f>
        <v>0</v>
      </c>
      <c r="F24" s="75">
        <f>SUM(F20:F23)</f>
        <v>0</v>
      </c>
      <c r="G24" s="75">
        <f>SUM(D24:F24)</f>
        <v>0</v>
      </c>
      <c r="H24" s="75">
        <f t="shared" ref="H24:I24" si="16">SUM(H20:H23)</f>
        <v>0</v>
      </c>
      <c r="I24" s="75">
        <f t="shared" si="16"/>
        <v>0</v>
      </c>
      <c r="J24" s="75">
        <f>SUM(J20:J23)</f>
        <v>0</v>
      </c>
      <c r="K24" s="75">
        <f>SUM(K20:K23)</f>
        <v>0</v>
      </c>
      <c r="L24" s="75">
        <f>SUM(I24:K24)</f>
        <v>0</v>
      </c>
      <c r="M24" s="75">
        <f t="shared" ref="M24" si="17">SUM(M20:M23)</f>
        <v>0</v>
      </c>
      <c r="N24" s="75">
        <f>SUM(N20:N23)</f>
        <v>0</v>
      </c>
      <c r="O24" s="75">
        <f>SUM(O20:O23)</f>
        <v>0</v>
      </c>
      <c r="P24" s="75">
        <f t="shared" ref="P24:S24" si="18">SUM(P20:P23)</f>
        <v>0</v>
      </c>
      <c r="Q24" s="75">
        <f t="shared" si="18"/>
        <v>0</v>
      </c>
      <c r="R24" s="75">
        <f t="shared" si="18"/>
        <v>0</v>
      </c>
      <c r="S24" s="75">
        <f t="shared" si="18"/>
        <v>0</v>
      </c>
      <c r="T24" s="75">
        <f>SUM(T20:T23)</f>
        <v>0</v>
      </c>
      <c r="U24" s="75">
        <f>SUM(U20:U23)</f>
        <v>0</v>
      </c>
      <c r="V24" s="75">
        <f>V20+V21+V22+V23</f>
        <v>0</v>
      </c>
      <c r="W24" s="75">
        <f>SUM(W20:W23)</f>
        <v>0</v>
      </c>
      <c r="Y24" s="87"/>
      <c r="Z24" s="86"/>
      <c r="AA24" s="87"/>
      <c r="AB24" s="70"/>
      <c r="AG24" s="91"/>
    </row>
    <row r="25" spans="1:33" ht="20.149999999999999" customHeight="1" x14ac:dyDescent="0.35">
      <c r="A25" s="61">
        <v>4</v>
      </c>
      <c r="B25" s="84" t="s">
        <v>119</v>
      </c>
      <c r="C25" s="84" t="s">
        <v>29</v>
      </c>
      <c r="D25" s="63"/>
      <c r="E25" s="63"/>
      <c r="F25" s="63"/>
      <c r="G25" s="63">
        <f>SUM(D25:F25)</f>
        <v>0</v>
      </c>
      <c r="H25" s="63"/>
      <c r="I25" s="63">
        <f>SUMIF(gol_C,C25,peg_c)</f>
        <v>0</v>
      </c>
      <c r="J25" s="63">
        <f>SUMIF(gol_C,C25,istri_C)</f>
        <v>0</v>
      </c>
      <c r="K25" s="63">
        <f>SUMIF(gol_C,C25,anak_C)</f>
        <v>0</v>
      </c>
      <c r="L25" s="63">
        <f>SUM(I25:K25)</f>
        <v>0</v>
      </c>
      <c r="M25" s="63">
        <f>SUMIF(gol_C,C25,c_jukot)</f>
        <v>0</v>
      </c>
      <c r="N25" s="63">
        <v>0</v>
      </c>
      <c r="O25" s="63">
        <f>D25-I25</f>
        <v>0</v>
      </c>
      <c r="P25" s="63">
        <v>0</v>
      </c>
      <c r="Q25" s="63">
        <f>E25-J25</f>
        <v>0</v>
      </c>
      <c r="R25" s="63">
        <v>0</v>
      </c>
      <c r="S25" s="63">
        <f>F25-K25</f>
        <v>0</v>
      </c>
      <c r="T25" s="63">
        <v>0</v>
      </c>
      <c r="U25" s="63">
        <f>G25-L25</f>
        <v>0</v>
      </c>
      <c r="V25" s="63">
        <v>0</v>
      </c>
      <c r="W25" s="63">
        <f>H25-M25</f>
        <v>0</v>
      </c>
      <c r="Y25" s="87"/>
      <c r="Z25" s="87"/>
      <c r="AA25" s="87"/>
      <c r="AB25" s="77"/>
    </row>
    <row r="26" spans="1:33" ht="20.149999999999999" customHeight="1" x14ac:dyDescent="0.35">
      <c r="A26" s="64"/>
      <c r="B26" s="84" t="s">
        <v>120</v>
      </c>
      <c r="C26" s="84" t="s">
        <v>30</v>
      </c>
      <c r="D26" s="63"/>
      <c r="E26" s="63"/>
      <c r="F26" s="63"/>
      <c r="G26" s="63">
        <f t="shared" ref="G26:G28" si="19">SUM(D26:F26)</f>
        <v>0</v>
      </c>
      <c r="H26" s="63"/>
      <c r="I26" s="63">
        <f>SUMIF(gol_C,C26,peg_c)</f>
        <v>0</v>
      </c>
      <c r="J26" s="63">
        <f>SUMIF(gol_C,C26,istri_C)</f>
        <v>0</v>
      </c>
      <c r="K26" s="63">
        <f>SUMIF(gol_C,C26,anak_C)</f>
        <v>0</v>
      </c>
      <c r="L26" s="63">
        <f t="shared" ref="L26:L28" si="20">SUM(I26:K26)</f>
        <v>0</v>
      </c>
      <c r="M26" s="63">
        <f>SUMIF(gol_C,C26,c_jukot)</f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f>H26-M26</f>
        <v>0</v>
      </c>
      <c r="Y26" s="89"/>
      <c r="Z26" s="87"/>
      <c r="AA26" s="87"/>
    </row>
    <row r="27" spans="1:33" ht="20.149999999999999" customHeight="1" x14ac:dyDescent="0.35">
      <c r="A27" s="64"/>
      <c r="B27" s="84" t="s">
        <v>121</v>
      </c>
      <c r="C27" s="84" t="s">
        <v>31</v>
      </c>
      <c r="D27" s="63"/>
      <c r="E27" s="63"/>
      <c r="F27" s="63"/>
      <c r="G27" s="63">
        <f t="shared" si="19"/>
        <v>0</v>
      </c>
      <c r="H27" s="63"/>
      <c r="I27" s="63">
        <f>SUMIF(gol_C,C27,peg_c)</f>
        <v>0</v>
      </c>
      <c r="J27" s="63">
        <f>SUMIF(gol_C,C27,istri_C)</f>
        <v>0</v>
      </c>
      <c r="K27" s="63">
        <f>SUMIF(gol_C,C27,anak_C)</f>
        <v>0</v>
      </c>
      <c r="L27" s="63">
        <f t="shared" si="20"/>
        <v>0</v>
      </c>
      <c r="M27" s="63">
        <f>SUMIF(gol_C,C27,c_jukot)</f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f>H27-M27</f>
        <v>0</v>
      </c>
      <c r="Y27" s="87"/>
      <c r="Z27" s="92"/>
      <c r="AA27" s="87"/>
      <c r="AB27" s="63"/>
      <c r="AC27" s="70"/>
    </row>
    <row r="28" spans="1:33" ht="20.149999999999999" customHeight="1" x14ac:dyDescent="0.35">
      <c r="A28" s="64"/>
      <c r="B28" s="84" t="s">
        <v>122</v>
      </c>
      <c r="C28" s="84" t="s">
        <v>32</v>
      </c>
      <c r="D28" s="63"/>
      <c r="E28" s="63"/>
      <c r="F28" s="63"/>
      <c r="G28" s="63">
        <f t="shared" si="19"/>
        <v>0</v>
      </c>
      <c r="H28" s="63"/>
      <c r="I28" s="63">
        <f>SUMIF(gol_C,C28,peg_c)</f>
        <v>0</v>
      </c>
      <c r="J28" s="63">
        <f>SUMIF(gol_C,C28,istri_C)</f>
        <v>0</v>
      </c>
      <c r="K28" s="63">
        <f>SUMIF(gol_C,C28,anak_C)</f>
        <v>0</v>
      </c>
      <c r="L28" s="63">
        <f t="shared" si="20"/>
        <v>0</v>
      </c>
      <c r="M28" s="63">
        <f>SUMIF(gol_C,C28,c_jukot)</f>
        <v>0</v>
      </c>
      <c r="N28" s="75">
        <v>0</v>
      </c>
      <c r="O28" s="63">
        <v>0</v>
      </c>
      <c r="P28" s="63">
        <f>J28-E28</f>
        <v>0</v>
      </c>
      <c r="Q28" s="63">
        <v>0</v>
      </c>
      <c r="R28" s="63">
        <f>K28-F28</f>
        <v>0</v>
      </c>
      <c r="S28" s="63">
        <v>0</v>
      </c>
      <c r="T28" s="63">
        <f>N28+P28+R28</f>
        <v>0</v>
      </c>
      <c r="U28" s="63">
        <v>0</v>
      </c>
      <c r="V28" s="63">
        <v>0</v>
      </c>
      <c r="W28" s="63">
        <f>H28-M28</f>
        <v>0</v>
      </c>
      <c r="Y28" s="93"/>
      <c r="Z28" s="87"/>
      <c r="AA28" s="89"/>
      <c r="AB28" s="94"/>
      <c r="AC28" s="95"/>
    </row>
    <row r="29" spans="1:33" s="76" customFormat="1" ht="15.5" x14ac:dyDescent="0.35">
      <c r="A29" s="73"/>
      <c r="B29" s="90" t="s">
        <v>123</v>
      </c>
      <c r="C29" s="90"/>
      <c r="D29" s="75">
        <f t="shared" ref="D29:G29" si="21">SUM(D25:D28)</f>
        <v>0</v>
      </c>
      <c r="E29" s="75">
        <f t="shared" si="21"/>
        <v>0</v>
      </c>
      <c r="F29" s="75">
        <f t="shared" si="21"/>
        <v>0</v>
      </c>
      <c r="G29" s="75">
        <f t="shared" si="21"/>
        <v>0</v>
      </c>
      <c r="H29" s="75">
        <f t="shared" ref="H29:V29" si="22">SUM(H25:H28)</f>
        <v>0</v>
      </c>
      <c r="I29" s="75">
        <f t="shared" si="22"/>
        <v>0</v>
      </c>
      <c r="J29" s="75">
        <f t="shared" si="22"/>
        <v>0</v>
      </c>
      <c r="K29" s="75">
        <f t="shared" si="22"/>
        <v>0</v>
      </c>
      <c r="L29" s="75">
        <f>SUM(I29:K29)</f>
        <v>0</v>
      </c>
      <c r="M29" s="75">
        <f t="shared" si="22"/>
        <v>0</v>
      </c>
      <c r="N29" s="75">
        <f t="shared" si="22"/>
        <v>0</v>
      </c>
      <c r="O29" s="75">
        <f t="shared" si="22"/>
        <v>0</v>
      </c>
      <c r="P29" s="75">
        <f t="shared" si="22"/>
        <v>0</v>
      </c>
      <c r="Q29" s="75">
        <f t="shared" si="22"/>
        <v>0</v>
      </c>
      <c r="R29" s="75">
        <f t="shared" si="22"/>
        <v>0</v>
      </c>
      <c r="S29" s="75">
        <f t="shared" si="22"/>
        <v>0</v>
      </c>
      <c r="T29" s="75">
        <f>SUM(T25:T28)</f>
        <v>0</v>
      </c>
      <c r="U29" s="75">
        <f>SUM(U25:U28)</f>
        <v>0</v>
      </c>
      <c r="V29" s="75">
        <f t="shared" si="22"/>
        <v>0</v>
      </c>
      <c r="W29" s="75">
        <f>W25+W26+W27+W28</f>
        <v>0</v>
      </c>
      <c r="Y29" s="93"/>
      <c r="Z29" s="92"/>
      <c r="AA29" s="87"/>
      <c r="AB29" s="47"/>
    </row>
    <row r="30" spans="1:33" s="76" customFormat="1" ht="15.5" x14ac:dyDescent="0.35">
      <c r="A30" s="96"/>
      <c r="B30" s="96" t="s">
        <v>124</v>
      </c>
      <c r="C30" s="96"/>
      <c r="D30" s="75">
        <f>SUM(D14+D19+D24+D29)</f>
        <v>2</v>
      </c>
      <c r="E30" s="75">
        <f>SUM(E14+E19+E24+E29)</f>
        <v>2</v>
      </c>
      <c r="F30" s="75">
        <f>SUM(F14+F19+F24+F29)</f>
        <v>3</v>
      </c>
      <c r="G30" s="75">
        <f>SUM(G14+G19+G24+G29)</f>
        <v>7</v>
      </c>
      <c r="H30" s="97">
        <f>H14+H19+H24+H29</f>
        <v>7677909</v>
      </c>
      <c r="I30" s="75">
        <f>SUM(I14+I19+I24+I29)</f>
        <v>2</v>
      </c>
      <c r="J30" s="75">
        <f>SUM(J14+J19+J24+J29)</f>
        <v>2</v>
      </c>
      <c r="K30" s="75">
        <f>SUM(K14+K19+K24+K29)</f>
        <v>3</v>
      </c>
      <c r="L30" s="75">
        <f>SUM(L14+L19+L24+L29)</f>
        <v>7</v>
      </c>
      <c r="M30" s="97">
        <f>M14+M19+M24+M29</f>
        <v>7677909</v>
      </c>
      <c r="N30" s="75">
        <f t="shared" ref="N30:U30" si="23">SUM(N14+N19+N24+N29)</f>
        <v>0</v>
      </c>
      <c r="O30" s="75">
        <f t="shared" si="23"/>
        <v>0</v>
      </c>
      <c r="P30" s="75">
        <f t="shared" si="23"/>
        <v>0</v>
      </c>
      <c r="Q30" s="75">
        <f t="shared" si="23"/>
        <v>0</v>
      </c>
      <c r="R30" s="75">
        <f t="shared" si="23"/>
        <v>0</v>
      </c>
      <c r="S30" s="75">
        <f t="shared" si="23"/>
        <v>0</v>
      </c>
      <c r="T30" s="75">
        <f>SUM(T14+T19+T24+T29)</f>
        <v>0</v>
      </c>
      <c r="U30" s="75">
        <f t="shared" si="23"/>
        <v>0</v>
      </c>
      <c r="V30" s="75">
        <f>V14+V19++V24</f>
        <v>0</v>
      </c>
      <c r="W30" s="75">
        <f>W14+W19+W24+W29</f>
        <v>0</v>
      </c>
      <c r="Y30" s="98"/>
      <c r="Z30" s="47"/>
      <c r="AC30" s="99"/>
    </row>
    <row r="31" spans="1:33" ht="15.5" x14ac:dyDescent="0.35">
      <c r="A31" s="100"/>
      <c r="B31" s="100"/>
      <c r="C31" s="100"/>
      <c r="D31" s="101"/>
      <c r="E31" s="101"/>
      <c r="F31" s="101"/>
      <c r="G31" s="101"/>
      <c r="H31" s="101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Y31" s="98"/>
      <c r="AA31" s="76"/>
      <c r="AB31" s="76"/>
    </row>
    <row r="32" spans="1:33" ht="15.5" x14ac:dyDescent="0.35">
      <c r="A32" s="100"/>
      <c r="B32" s="100"/>
      <c r="C32" s="100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S32" s="442" t="str">
        <f>'SPP1'!G35</f>
        <v>Watumalang, 21 April  2025</v>
      </c>
      <c r="T32" s="442"/>
      <c r="U32" s="442"/>
      <c r="V32" s="442"/>
      <c r="W32" s="442"/>
      <c r="Y32" s="98"/>
      <c r="Z32" s="102"/>
    </row>
    <row r="33" spans="1:26" ht="15.5" x14ac:dyDescent="0.35">
      <c r="A33" s="100"/>
      <c r="B33" s="100"/>
      <c r="C33" s="100"/>
      <c r="D33" s="48"/>
      <c r="E33" s="48"/>
      <c r="F33" s="48"/>
      <c r="G33" s="48"/>
      <c r="H33" s="48"/>
      <c r="I33" s="48"/>
      <c r="J33" s="48"/>
      <c r="K33" s="48"/>
      <c r="L33" s="48"/>
      <c r="M33" s="103"/>
      <c r="N33" s="48"/>
      <c r="O33" s="48"/>
      <c r="P33" s="48"/>
      <c r="Q33" s="48"/>
      <c r="R33" s="48"/>
      <c r="S33" s="48"/>
      <c r="T33" s="48"/>
      <c r="U33" s="48"/>
      <c r="V33" s="48"/>
      <c r="W33" s="48"/>
      <c r="Y33" s="102"/>
      <c r="Z33" s="76"/>
    </row>
    <row r="34" spans="1:26" ht="15.5" x14ac:dyDescent="0.35">
      <c r="A34" s="48"/>
      <c r="B34" s="439" t="s">
        <v>83</v>
      </c>
      <c r="C34" s="439"/>
      <c r="D34" s="439"/>
      <c r="E34" s="439"/>
      <c r="F34" s="439"/>
      <c r="G34" s="439"/>
      <c r="H34" s="48"/>
      <c r="I34" s="100"/>
      <c r="J34" s="48"/>
      <c r="K34" s="100"/>
      <c r="L34" s="100"/>
      <c r="M34" s="103"/>
      <c r="N34" s="48"/>
      <c r="O34" s="100"/>
      <c r="P34" s="48"/>
      <c r="Q34" s="48"/>
      <c r="R34" s="48"/>
      <c r="S34" s="439" t="s">
        <v>57</v>
      </c>
      <c r="T34" s="439"/>
      <c r="U34" s="439"/>
      <c r="V34" s="439"/>
      <c r="W34" s="439"/>
      <c r="X34" s="85"/>
    </row>
    <row r="35" spans="1:26" ht="15.5" x14ac:dyDescent="0.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100"/>
      <c r="M35" s="103"/>
      <c r="N35" s="48"/>
      <c r="O35" s="48"/>
      <c r="P35" s="48"/>
      <c r="Q35" s="48"/>
      <c r="R35" s="48"/>
      <c r="S35" s="439" t="s">
        <v>58</v>
      </c>
      <c r="T35" s="439"/>
      <c r="U35" s="439"/>
      <c r="V35" s="439"/>
      <c r="W35" s="439"/>
      <c r="X35" s="85"/>
    </row>
    <row r="36" spans="1:26" ht="25.5" customHeight="1" x14ac:dyDescent="0.3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100"/>
      <c r="M36" s="103"/>
      <c r="N36" s="48"/>
      <c r="O36" s="48"/>
      <c r="P36" s="48"/>
      <c r="Q36" s="48"/>
      <c r="R36" s="48"/>
      <c r="S36" s="100"/>
      <c r="T36" s="100"/>
      <c r="U36" s="100"/>
      <c r="V36" s="100"/>
      <c r="W36" s="100"/>
      <c r="X36" s="85"/>
    </row>
    <row r="37" spans="1:26" ht="15.5" x14ac:dyDescent="0.3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100"/>
      <c r="M37" s="48"/>
      <c r="N37" s="48"/>
      <c r="O37" s="78"/>
      <c r="P37" s="48"/>
      <c r="Q37" s="48"/>
      <c r="R37" s="48"/>
      <c r="S37" s="48"/>
      <c r="T37" s="48"/>
      <c r="U37" s="48"/>
      <c r="V37" s="48"/>
      <c r="W37" s="48"/>
    </row>
    <row r="38" spans="1:26" ht="15.5" x14ac:dyDescent="0.35">
      <c r="A38" s="48"/>
      <c r="B38" s="400" t="s">
        <v>84</v>
      </c>
      <c r="C38" s="400"/>
      <c r="D38" s="400"/>
      <c r="E38" s="400"/>
      <c r="F38" s="400"/>
      <c r="G38" s="400"/>
      <c r="H38" s="48"/>
      <c r="I38" s="100"/>
      <c r="J38" s="48"/>
      <c r="K38" s="100"/>
      <c r="L38" s="100"/>
      <c r="M38" s="100"/>
      <c r="N38" s="48"/>
      <c r="O38" s="104"/>
      <c r="P38" s="48"/>
      <c r="Q38" s="48"/>
      <c r="R38" s="48"/>
      <c r="S38" s="432" t="str">
        <f>'SPP1'!G42</f>
        <v>SOLEH</v>
      </c>
      <c r="T38" s="432"/>
      <c r="U38" s="432"/>
      <c r="V38" s="432"/>
      <c r="W38" s="432"/>
      <c r="X38" s="85"/>
    </row>
    <row r="39" spans="1:26" ht="15.5" x14ac:dyDescent="0.35">
      <c r="A39" s="48"/>
      <c r="B39" s="438" t="s">
        <v>85</v>
      </c>
      <c r="C39" s="438"/>
      <c r="D39" s="438"/>
      <c r="E39" s="438"/>
      <c r="F39" s="438"/>
      <c r="G39" s="438"/>
      <c r="H39" s="48"/>
      <c r="I39" s="48"/>
      <c r="J39" s="48"/>
      <c r="K39" s="105"/>
      <c r="L39" s="100"/>
      <c r="M39" s="48"/>
      <c r="N39" s="48"/>
      <c r="O39" s="48"/>
      <c r="P39" s="48"/>
      <c r="Q39" s="48"/>
      <c r="R39" s="48"/>
      <c r="S39" s="439" t="str">
        <f>'SPP1'!G43</f>
        <v>NIP. 19710815 201212 1 001</v>
      </c>
      <c r="T39" s="439"/>
      <c r="U39" s="439"/>
      <c r="V39" s="439"/>
      <c r="W39" s="439"/>
    </row>
    <row r="40" spans="1:26" x14ac:dyDescent="0.25">
      <c r="Y40" s="70"/>
    </row>
    <row r="41" spans="1:26" x14ac:dyDescent="0.25">
      <c r="A41" s="438"/>
      <c r="B41" s="438"/>
      <c r="C41" s="438"/>
      <c r="D41" s="438"/>
      <c r="E41" s="438"/>
      <c r="F41" s="438"/>
      <c r="G41" s="438"/>
      <c r="H41" s="438"/>
      <c r="I41" s="438"/>
      <c r="J41" s="438"/>
      <c r="K41" s="438"/>
      <c r="L41" s="438"/>
      <c r="M41" s="438"/>
      <c r="N41" s="438"/>
      <c r="O41" s="438"/>
      <c r="P41" s="438"/>
      <c r="Q41" s="438"/>
      <c r="R41" s="438"/>
      <c r="S41" s="438"/>
      <c r="T41" s="438"/>
      <c r="U41" s="438"/>
      <c r="V41" s="438"/>
      <c r="W41" s="438"/>
    </row>
    <row r="42" spans="1:26" x14ac:dyDescent="0.25">
      <c r="Y42" s="94"/>
    </row>
    <row r="46" spans="1:26" ht="13" x14ac:dyDescent="0.3">
      <c r="V46" s="76"/>
    </row>
    <row r="53" spans="8:23" x14ac:dyDescent="0.25">
      <c r="H53" s="106"/>
      <c r="M53" s="106"/>
    </row>
    <row r="55" spans="8:23" x14ac:dyDescent="0.25">
      <c r="H55" s="106"/>
      <c r="M55" s="106"/>
    </row>
    <row r="56" spans="8:23" x14ac:dyDescent="0.25">
      <c r="H56" s="106"/>
      <c r="M56" s="106"/>
    </row>
    <row r="57" spans="8:23" x14ac:dyDescent="0.25">
      <c r="H57" s="106"/>
      <c r="M57" s="106"/>
    </row>
    <row r="58" spans="8:23" x14ac:dyDescent="0.25">
      <c r="H58" s="106"/>
      <c r="M58" s="106"/>
      <c r="W58" s="106"/>
    </row>
    <row r="59" spans="8:23" x14ac:dyDescent="0.25">
      <c r="H59" s="106"/>
      <c r="M59" s="106"/>
    </row>
    <row r="60" spans="8:23" x14ac:dyDescent="0.25">
      <c r="H60" s="106"/>
      <c r="M60" s="106"/>
      <c r="W60" s="106"/>
    </row>
    <row r="61" spans="8:23" x14ac:dyDescent="0.25">
      <c r="H61" s="106"/>
      <c r="M61" s="106"/>
      <c r="V61" s="106"/>
    </row>
    <row r="62" spans="8:23" x14ac:dyDescent="0.25">
      <c r="H62" s="106"/>
      <c r="M62" s="106"/>
    </row>
    <row r="63" spans="8:23" x14ac:dyDescent="0.25">
      <c r="H63" s="106"/>
      <c r="M63" s="106"/>
      <c r="V63" s="106"/>
    </row>
    <row r="64" spans="8:23" x14ac:dyDescent="0.25">
      <c r="H64" s="106"/>
      <c r="M64" s="106"/>
    </row>
    <row r="65" spans="8:23" x14ac:dyDescent="0.25">
      <c r="H65" s="106"/>
      <c r="M65" s="106"/>
      <c r="V65" s="106"/>
    </row>
    <row r="71" spans="8:23" x14ac:dyDescent="0.25">
      <c r="H71" s="106"/>
      <c r="M71" s="106"/>
      <c r="V71" s="106"/>
      <c r="W71" s="106"/>
    </row>
  </sheetData>
  <mergeCells count="28">
    <mergeCell ref="B39:G39"/>
    <mergeCell ref="S39:W39"/>
    <mergeCell ref="A41:W41"/>
    <mergeCell ref="R7:S7"/>
    <mergeCell ref="T7:U7"/>
    <mergeCell ref="V7:W7"/>
    <mergeCell ref="S32:W32"/>
    <mergeCell ref="B34:G34"/>
    <mergeCell ref="S34:W34"/>
    <mergeCell ref="J7:J8"/>
    <mergeCell ref="K7:K8"/>
    <mergeCell ref="L7:L8"/>
    <mergeCell ref="M7:M8"/>
    <mergeCell ref="N7:O7"/>
    <mergeCell ref="P7:Q7"/>
    <mergeCell ref="S35:W35"/>
    <mergeCell ref="B38:G38"/>
    <mergeCell ref="S38:W38"/>
    <mergeCell ref="A1:W1"/>
    <mergeCell ref="D6:H6"/>
    <mergeCell ref="I6:M6"/>
    <mergeCell ref="N6:W6"/>
    <mergeCell ref="D7:D8"/>
    <mergeCell ref="E7:E8"/>
    <mergeCell ref="F7:F8"/>
    <mergeCell ref="G7:G8"/>
    <mergeCell ref="H7:H8"/>
    <mergeCell ref="I7:I8"/>
  </mergeCells>
  <printOptions horizontalCentered="1"/>
  <pageMargins left="0.15" right="0.25" top="0.55000000000000004" bottom="0.46" header="0.3" footer="0.3"/>
  <pageSetup paperSize="256" scale="75" orientation="landscape" horizontalDpi="4294967293" verticalDpi="18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A527-EEE3-40C7-A19D-FA6D6282A51C}">
  <sheetPr>
    <tabColor rgb="FF00B050"/>
  </sheetPr>
  <dimension ref="A1:H199"/>
  <sheetViews>
    <sheetView view="pageBreakPreview" topLeftCell="A34" zoomScale="85" zoomScaleNormal="110" zoomScaleSheetLayoutView="85" workbookViewId="0">
      <selection activeCell="F9" sqref="F9"/>
    </sheetView>
  </sheetViews>
  <sheetFormatPr defaultRowHeight="12.5" x14ac:dyDescent="0.25"/>
  <cols>
    <col min="1" max="1" width="3.54296875" style="47" customWidth="1"/>
    <col min="2" max="2" width="22.7265625" style="47" customWidth="1"/>
    <col min="3" max="4" width="11.453125" style="47" customWidth="1"/>
    <col min="5" max="5" width="1.36328125" style="47" bestFit="1" customWidth="1"/>
    <col min="6" max="6" width="12.453125" style="47" customWidth="1"/>
    <col min="7" max="7" width="11.1796875" style="47" customWidth="1"/>
    <col min="8" max="8" width="15.453125" style="47" customWidth="1"/>
    <col min="9" max="16384" width="8.7265625" style="47"/>
  </cols>
  <sheetData>
    <row r="1" spans="1:8" ht="18" customHeight="1" x14ac:dyDescent="0.3">
      <c r="B1" s="68" t="s">
        <v>310</v>
      </c>
      <c r="C1" s="258" t="s">
        <v>309</v>
      </c>
    </row>
    <row r="2" spans="1:8" ht="15" customHeight="1" x14ac:dyDescent="0.3">
      <c r="C2" s="258" t="s">
        <v>308</v>
      </c>
    </row>
    <row r="3" spans="1:8" ht="15" customHeight="1" x14ac:dyDescent="0.25">
      <c r="B3" s="266"/>
    </row>
    <row r="4" spans="1:8" ht="15" customHeight="1" x14ac:dyDescent="0.3">
      <c r="C4" s="267" t="s">
        <v>307</v>
      </c>
      <c r="E4" s="47" t="s">
        <v>131</v>
      </c>
      <c r="F4" s="258" t="s">
        <v>228</v>
      </c>
    </row>
    <row r="5" spans="1:8" ht="15" customHeight="1" x14ac:dyDescent="0.3">
      <c r="C5" s="267" t="s">
        <v>90</v>
      </c>
      <c r="E5" s="47" t="s">
        <v>131</v>
      </c>
      <c r="F5" s="314" t="s">
        <v>311</v>
      </c>
      <c r="G5" s="76"/>
    </row>
    <row r="6" spans="1:8" ht="15" customHeight="1" x14ac:dyDescent="0.25">
      <c r="C6" s="267" t="s">
        <v>306</v>
      </c>
      <c r="E6" s="47" t="s">
        <v>131</v>
      </c>
      <c r="F6" s="315" t="s">
        <v>312</v>
      </c>
    </row>
    <row r="7" spans="1:8" ht="15" customHeight="1" x14ac:dyDescent="0.3">
      <c r="C7" s="267" t="s">
        <v>305</v>
      </c>
      <c r="E7" s="47" t="s">
        <v>131</v>
      </c>
      <c r="F7" s="258" t="s">
        <v>313</v>
      </c>
    </row>
    <row r="8" spans="1:8" ht="15" customHeight="1" x14ac:dyDescent="0.25">
      <c r="C8" s="443" t="s">
        <v>304</v>
      </c>
      <c r="D8" s="443"/>
      <c r="E8" s="47" t="s">
        <v>131</v>
      </c>
      <c r="F8" s="444" t="str">
        <f>'SPP1'!E26</f>
        <v>MEI 2025</v>
      </c>
      <c r="G8" s="445"/>
      <c r="H8" s="445"/>
    </row>
    <row r="9" spans="1:8" ht="15" customHeight="1" x14ac:dyDescent="0.25">
      <c r="C9" s="267"/>
      <c r="F9" s="268"/>
    </row>
    <row r="10" spans="1:8" ht="15" customHeight="1" x14ac:dyDescent="0.25">
      <c r="C10" s="267" t="s">
        <v>303</v>
      </c>
      <c r="E10" s="47" t="s">
        <v>131</v>
      </c>
      <c r="F10" s="312">
        <f>D33</f>
        <v>7677909</v>
      </c>
    </row>
    <row r="11" spans="1:8" ht="15" customHeight="1" x14ac:dyDescent="0.25">
      <c r="C11" s="267" t="s">
        <v>302</v>
      </c>
      <c r="E11" s="47" t="s">
        <v>131</v>
      </c>
      <c r="F11" s="267">
        <v>0</v>
      </c>
    </row>
    <row r="12" spans="1:8" ht="10.5" customHeight="1" thickBot="1" x14ac:dyDescent="0.3"/>
    <row r="13" spans="1:8" ht="16" customHeight="1" x14ac:dyDescent="0.3">
      <c r="A13" s="446" t="s">
        <v>157</v>
      </c>
      <c r="B13" s="448" t="s">
        <v>266</v>
      </c>
      <c r="C13" s="450" t="s">
        <v>49</v>
      </c>
      <c r="D13" s="450"/>
      <c r="E13" s="450"/>
      <c r="F13" s="450"/>
      <c r="G13" s="450"/>
      <c r="H13" s="265" t="s">
        <v>124</v>
      </c>
    </row>
    <row r="14" spans="1:8" ht="16" customHeight="1" x14ac:dyDescent="0.3">
      <c r="A14" s="447"/>
      <c r="B14" s="449"/>
      <c r="C14" s="107" t="s">
        <v>13</v>
      </c>
      <c r="D14" s="451" t="s">
        <v>51</v>
      </c>
      <c r="E14" s="452"/>
      <c r="F14" s="107" t="s">
        <v>24</v>
      </c>
      <c r="G14" s="107" t="s">
        <v>15</v>
      </c>
      <c r="H14" s="264" t="s">
        <v>301</v>
      </c>
    </row>
    <row r="15" spans="1:8" ht="16" customHeight="1" x14ac:dyDescent="0.25">
      <c r="A15" s="269">
        <v>1</v>
      </c>
      <c r="B15" s="270">
        <v>2</v>
      </c>
      <c r="C15" s="270">
        <v>3</v>
      </c>
      <c r="D15" s="462">
        <v>4</v>
      </c>
      <c r="E15" s="463"/>
      <c r="F15" s="270">
        <v>5</v>
      </c>
      <c r="G15" s="270">
        <v>6</v>
      </c>
      <c r="H15" s="271" t="s">
        <v>300</v>
      </c>
    </row>
    <row r="16" spans="1:8" ht="16" customHeight="1" x14ac:dyDescent="0.3">
      <c r="A16" s="263" t="s">
        <v>13</v>
      </c>
      <c r="B16" s="262" t="s">
        <v>296</v>
      </c>
      <c r="C16" s="260">
        <f>SUM(C17:C19)</f>
        <v>0</v>
      </c>
      <c r="D16" s="464">
        <f>SUM(D17:D19)</f>
        <v>7</v>
      </c>
      <c r="E16" s="465"/>
      <c r="F16" s="260">
        <f>SUM(F17:F19)</f>
        <v>0</v>
      </c>
      <c r="G16" s="260">
        <f>SUM(G17:G19)</f>
        <v>0</v>
      </c>
      <c r="H16" s="259">
        <f>SUM(H17:H19)</f>
        <v>7</v>
      </c>
    </row>
    <row r="17" spans="1:8" ht="16" customHeight="1" x14ac:dyDescent="0.25">
      <c r="A17" s="272"/>
      <c r="B17" s="273" t="s">
        <v>299</v>
      </c>
      <c r="C17" s="274">
        <v>0</v>
      </c>
      <c r="D17" s="466">
        <f>KUNCI!C25</f>
        <v>2</v>
      </c>
      <c r="E17" s="467"/>
      <c r="F17" s="275">
        <v>0</v>
      </c>
      <c r="G17" s="275">
        <v>0</v>
      </c>
      <c r="H17" s="276">
        <f>SUM(C17:G17)</f>
        <v>2</v>
      </c>
    </row>
    <row r="18" spans="1:8" ht="16" customHeight="1" x14ac:dyDescent="0.25">
      <c r="A18" s="277"/>
      <c r="B18" s="273" t="s">
        <v>298</v>
      </c>
      <c r="C18" s="274">
        <f>[2]KUNCI!E4</f>
        <v>0</v>
      </c>
      <c r="D18" s="466">
        <f>KUNCI!D25</f>
        <v>2</v>
      </c>
      <c r="E18" s="467"/>
      <c r="F18" s="275">
        <v>0</v>
      </c>
      <c r="G18" s="275">
        <v>0</v>
      </c>
      <c r="H18" s="276">
        <f>SUM(C18:G18)</f>
        <v>2</v>
      </c>
    </row>
    <row r="19" spans="1:8" ht="16" customHeight="1" x14ac:dyDescent="0.25">
      <c r="A19" s="278"/>
      <c r="B19" s="273" t="s">
        <v>297</v>
      </c>
      <c r="C19" s="274">
        <f>[2]KUNCI!F4</f>
        <v>0</v>
      </c>
      <c r="D19" s="466">
        <f>KUNCI!E25</f>
        <v>3</v>
      </c>
      <c r="E19" s="467"/>
      <c r="F19" s="275">
        <v>0</v>
      </c>
      <c r="G19" s="275">
        <v>0</v>
      </c>
      <c r="H19" s="276">
        <f>SUM(C19:G19)</f>
        <v>3</v>
      </c>
    </row>
    <row r="20" spans="1:8" ht="16" customHeight="1" x14ac:dyDescent="0.3">
      <c r="A20" s="263" t="s">
        <v>51</v>
      </c>
      <c r="B20" s="262" t="s">
        <v>296</v>
      </c>
      <c r="C20" s="261"/>
      <c r="D20" s="466">
        <f>SUM(D21:E22)</f>
        <v>2</v>
      </c>
      <c r="E20" s="467"/>
      <c r="F20" s="260">
        <v>0</v>
      </c>
      <c r="G20" s="260">
        <v>0</v>
      </c>
      <c r="H20" s="259">
        <f>H21+H22</f>
        <v>2</v>
      </c>
    </row>
    <row r="21" spans="1:8" ht="16" customHeight="1" x14ac:dyDescent="0.25">
      <c r="A21" s="272"/>
      <c r="B21" s="279" t="s">
        <v>295</v>
      </c>
      <c r="C21" s="280">
        <v>0</v>
      </c>
      <c r="D21" s="466">
        <v>0</v>
      </c>
      <c r="E21" s="467"/>
      <c r="F21" s="281">
        <v>0</v>
      </c>
      <c r="G21" s="281">
        <v>0</v>
      </c>
      <c r="H21" s="282">
        <f>SUM(C21:G21)</f>
        <v>0</v>
      </c>
    </row>
    <row r="22" spans="1:8" ht="16" customHeight="1" thickBot="1" x14ac:dyDescent="0.3">
      <c r="A22" s="283"/>
      <c r="B22" s="284" t="s">
        <v>294</v>
      </c>
      <c r="C22" s="285">
        <v>0</v>
      </c>
      <c r="D22" s="468">
        <v>2</v>
      </c>
      <c r="E22" s="469"/>
      <c r="F22" s="286">
        <v>0</v>
      </c>
      <c r="G22" s="286">
        <v>0</v>
      </c>
      <c r="H22" s="287">
        <f>SUM(C22:G22)</f>
        <v>2</v>
      </c>
    </row>
    <row r="23" spans="1:8" ht="16" customHeight="1" x14ac:dyDescent="0.25">
      <c r="A23" s="288" t="s">
        <v>24</v>
      </c>
      <c r="B23" s="289" t="s">
        <v>293</v>
      </c>
      <c r="C23" s="290">
        <f>SUM(C24:C31)</f>
        <v>0</v>
      </c>
      <c r="D23" s="466">
        <f>SUM(D24:E32)</f>
        <v>7677909</v>
      </c>
      <c r="E23" s="467"/>
      <c r="F23" s="290">
        <f>SUM(F24:F31)</f>
        <v>0</v>
      </c>
      <c r="G23" s="290">
        <f>SUM(G24:G31)</f>
        <v>0</v>
      </c>
      <c r="H23" s="290">
        <f>SUM(H24:H32)</f>
        <v>7677909</v>
      </c>
    </row>
    <row r="24" spans="1:8" ht="16" customHeight="1" x14ac:dyDescent="0.25">
      <c r="A24" s="272"/>
      <c r="B24" s="273" t="s">
        <v>292</v>
      </c>
      <c r="C24" s="275">
        <v>0</v>
      </c>
      <c r="D24" s="466">
        <f>KUNCI!G25</f>
        <v>5717600</v>
      </c>
      <c r="E24" s="467"/>
      <c r="F24" s="275">
        <v>0</v>
      </c>
      <c r="G24" s="275">
        <v>0</v>
      </c>
      <c r="H24" s="276">
        <f t="shared" ref="H24:H33" si="0">SUM(C24:G24)</f>
        <v>5717600</v>
      </c>
    </row>
    <row r="25" spans="1:8" ht="16" customHeight="1" x14ac:dyDescent="0.25">
      <c r="A25" s="277"/>
      <c r="B25" s="273" t="s">
        <v>291</v>
      </c>
      <c r="C25" s="275">
        <f>[2]KUNCI!I4</f>
        <v>0</v>
      </c>
      <c r="D25" s="466">
        <f>KUNCI!H25</f>
        <v>571760</v>
      </c>
      <c r="E25" s="467"/>
      <c r="F25" s="275">
        <v>0</v>
      </c>
      <c r="G25" s="275">
        <f>[2]KUNCI!M4</f>
        <v>0</v>
      </c>
      <c r="H25" s="276">
        <f t="shared" si="0"/>
        <v>571760</v>
      </c>
    </row>
    <row r="26" spans="1:8" ht="16" customHeight="1" x14ac:dyDescent="0.25">
      <c r="A26" s="277"/>
      <c r="B26" s="273" t="s">
        <v>290</v>
      </c>
      <c r="C26" s="275">
        <f>[2]KUNCI!J4</f>
        <v>0</v>
      </c>
      <c r="D26" s="466">
        <f>KUNCI!I25</f>
        <v>171528</v>
      </c>
      <c r="E26" s="467"/>
      <c r="F26" s="275">
        <f>[2]KUNCI!M4</f>
        <v>0</v>
      </c>
      <c r="G26" s="275">
        <f>[2]KUNCI!N4</f>
        <v>0</v>
      </c>
      <c r="H26" s="276">
        <f t="shared" si="0"/>
        <v>171528</v>
      </c>
    </row>
    <row r="27" spans="1:8" ht="16" customHeight="1" x14ac:dyDescent="0.25">
      <c r="A27" s="277"/>
      <c r="B27" s="273" t="s">
        <v>289</v>
      </c>
      <c r="C27" s="275">
        <v>0</v>
      </c>
      <c r="D27" s="466">
        <v>0</v>
      </c>
      <c r="E27" s="467"/>
      <c r="F27" s="275">
        <v>0</v>
      </c>
      <c r="G27" s="275">
        <v>0</v>
      </c>
      <c r="H27" s="276">
        <f t="shared" si="0"/>
        <v>0</v>
      </c>
    </row>
    <row r="28" spans="1:8" ht="16" customHeight="1" x14ac:dyDescent="0.25">
      <c r="A28" s="277"/>
      <c r="B28" s="273" t="s">
        <v>288</v>
      </c>
      <c r="C28" s="275">
        <v>0</v>
      </c>
      <c r="D28" s="466">
        <v>0</v>
      </c>
      <c r="E28" s="467"/>
      <c r="F28" s="275">
        <v>0</v>
      </c>
      <c r="G28" s="275">
        <v>0</v>
      </c>
      <c r="H28" s="276">
        <f t="shared" si="0"/>
        <v>0</v>
      </c>
    </row>
    <row r="29" spans="1:8" ht="16" customHeight="1" x14ac:dyDescent="0.25">
      <c r="A29" s="277"/>
      <c r="B29" s="273" t="s">
        <v>287</v>
      </c>
      <c r="C29" s="275">
        <v>0</v>
      </c>
      <c r="D29" s="466">
        <f>KUNCI!N25</f>
        <v>710000</v>
      </c>
      <c r="E29" s="467"/>
      <c r="F29" s="275">
        <v>0</v>
      </c>
      <c r="G29" s="275">
        <v>0</v>
      </c>
      <c r="H29" s="276">
        <f t="shared" si="0"/>
        <v>710000</v>
      </c>
    </row>
    <row r="30" spans="1:8" ht="16" customHeight="1" x14ac:dyDescent="0.25">
      <c r="A30" s="277"/>
      <c r="B30" s="273" t="s">
        <v>286</v>
      </c>
      <c r="C30" s="275">
        <f>[2]KUNCI!Q4</f>
        <v>0</v>
      </c>
      <c r="D30" s="466">
        <f>[2]KUNCI!Q5</f>
        <v>0</v>
      </c>
      <c r="E30" s="467"/>
      <c r="F30" s="275">
        <v>0</v>
      </c>
      <c r="G30" s="275">
        <v>0</v>
      </c>
      <c r="H30" s="276">
        <f t="shared" si="0"/>
        <v>0</v>
      </c>
    </row>
    <row r="31" spans="1:8" ht="16" customHeight="1" x14ac:dyDescent="0.25">
      <c r="A31" s="278"/>
      <c r="B31" s="273" t="s">
        <v>285</v>
      </c>
      <c r="C31" s="275">
        <v>0</v>
      </c>
      <c r="D31" s="466">
        <f>KUNCI!R25</f>
        <v>81</v>
      </c>
      <c r="E31" s="467"/>
      <c r="F31" s="275">
        <v>0</v>
      </c>
      <c r="G31" s="275">
        <v>0</v>
      </c>
      <c r="H31" s="276">
        <f t="shared" si="0"/>
        <v>81</v>
      </c>
    </row>
    <row r="32" spans="1:8" ht="16" customHeight="1" thickBot="1" x14ac:dyDescent="0.3">
      <c r="A32" s="292" t="s">
        <v>15</v>
      </c>
      <c r="B32" s="284" t="s">
        <v>284</v>
      </c>
      <c r="C32" s="286">
        <v>0</v>
      </c>
      <c r="D32" s="466">
        <f>KUNCI!P25</f>
        <v>506940</v>
      </c>
      <c r="E32" s="467"/>
      <c r="F32" s="286">
        <v>0</v>
      </c>
      <c r="G32" s="286">
        <v>0</v>
      </c>
      <c r="H32" s="287">
        <f t="shared" si="0"/>
        <v>506940</v>
      </c>
    </row>
    <row r="33" spans="1:8" s="76" customFormat="1" ht="16" customHeight="1" thickBot="1" x14ac:dyDescent="0.35">
      <c r="A33" s="293" t="s">
        <v>283</v>
      </c>
      <c r="B33" s="294" t="s">
        <v>282</v>
      </c>
      <c r="C33" s="295">
        <f>C24+C25+C26+C27+C30+C31+C32</f>
        <v>0</v>
      </c>
      <c r="D33" s="470">
        <f>SUM(D24:D32)</f>
        <v>7677909</v>
      </c>
      <c r="E33" s="471"/>
      <c r="F33" s="295">
        <f>SUM(F24:F32)</f>
        <v>0</v>
      </c>
      <c r="G33" s="295">
        <f>SUM(G24:G32)</f>
        <v>0</v>
      </c>
      <c r="H33" s="296">
        <f t="shared" si="0"/>
        <v>7677909</v>
      </c>
    </row>
    <row r="34" spans="1:8" ht="16" customHeight="1" x14ac:dyDescent="0.25">
      <c r="A34" s="297"/>
      <c r="B34" s="289" t="s">
        <v>281</v>
      </c>
      <c r="C34" s="290">
        <v>0</v>
      </c>
      <c r="D34" s="466">
        <f>KUNCI!W25</f>
        <v>71709</v>
      </c>
      <c r="E34" s="467"/>
      <c r="F34" s="290">
        <v>0</v>
      </c>
      <c r="G34" s="290">
        <v>0</v>
      </c>
      <c r="H34" s="291">
        <f>C34+D34+F34+G34</f>
        <v>71709</v>
      </c>
    </row>
    <row r="35" spans="1:8" ht="16" customHeight="1" x14ac:dyDescent="0.25">
      <c r="A35" s="277"/>
      <c r="B35" s="273" t="s">
        <v>280</v>
      </c>
      <c r="C35" s="275">
        <v>0</v>
      </c>
      <c r="D35" s="466">
        <v>0</v>
      </c>
      <c r="E35" s="467"/>
      <c r="F35" s="275">
        <v>0</v>
      </c>
      <c r="G35" s="275">
        <v>0</v>
      </c>
      <c r="H35" s="276">
        <f>C35+D35+F35+G35</f>
        <v>0</v>
      </c>
    </row>
    <row r="36" spans="1:8" ht="16" customHeight="1" x14ac:dyDescent="0.25">
      <c r="A36" s="277"/>
      <c r="B36" s="273" t="s">
        <v>279</v>
      </c>
      <c r="C36" s="275">
        <f>[2]KUNCI!AC4</f>
        <v>0</v>
      </c>
      <c r="D36" s="466">
        <f>[2]KUNCI!AC5</f>
        <v>0</v>
      </c>
      <c r="E36" s="467"/>
      <c r="F36" s="275">
        <f>[2]KUNCI!AC6</f>
        <v>0</v>
      </c>
      <c r="G36" s="275">
        <f>[2]KUNCI!AC7</f>
        <v>0</v>
      </c>
      <c r="H36" s="276">
        <f>C36+D36+F36+G36</f>
        <v>0</v>
      </c>
    </row>
    <row r="37" spans="1:8" ht="16" customHeight="1" thickBot="1" x14ac:dyDescent="0.3">
      <c r="A37" s="277"/>
      <c r="B37" s="279" t="s">
        <v>278</v>
      </c>
      <c r="C37" s="281">
        <f>C30</f>
        <v>0</v>
      </c>
      <c r="D37" s="466">
        <f>D30</f>
        <v>0</v>
      </c>
      <c r="E37" s="467"/>
      <c r="F37" s="281">
        <f>F30</f>
        <v>0</v>
      </c>
      <c r="G37" s="281">
        <f>G30</f>
        <v>0</v>
      </c>
      <c r="H37" s="282">
        <f>C37+D37+F37+G37</f>
        <v>0</v>
      </c>
    </row>
    <row r="38" spans="1:8" s="76" customFormat="1" ht="16" customHeight="1" thickBot="1" x14ac:dyDescent="0.35">
      <c r="A38" s="298" t="s">
        <v>277</v>
      </c>
      <c r="B38" s="299" t="s">
        <v>276</v>
      </c>
      <c r="C38" s="300">
        <f>C37+C36+C35+C34</f>
        <v>0</v>
      </c>
      <c r="D38" s="456">
        <f>D37+D36+D35+D34</f>
        <v>71709</v>
      </c>
      <c r="E38" s="457"/>
      <c r="F38" s="300">
        <f>SUM(F34:F37)</f>
        <v>0</v>
      </c>
      <c r="G38" s="300">
        <f>SUM(G34:G37)</f>
        <v>0</v>
      </c>
      <c r="H38" s="301">
        <f>C38+D38+F38+G38</f>
        <v>71709</v>
      </c>
    </row>
    <row r="39" spans="1:8" s="76" customFormat="1" ht="19.5" customHeight="1" thickBot="1" x14ac:dyDescent="0.35">
      <c r="A39" s="302" t="s">
        <v>275</v>
      </c>
      <c r="B39" s="303" t="s">
        <v>274</v>
      </c>
      <c r="C39" s="304">
        <f>C33-C38</f>
        <v>0</v>
      </c>
      <c r="D39" s="458">
        <f>SUM(D33-D38)</f>
        <v>7606200</v>
      </c>
      <c r="E39" s="459"/>
      <c r="F39" s="304">
        <f>SUM(F33-F38)</f>
        <v>0</v>
      </c>
      <c r="G39" s="304">
        <f>G33-G38</f>
        <v>0</v>
      </c>
      <c r="H39" s="305">
        <f>SUM(H33-H38)</f>
        <v>7606200</v>
      </c>
    </row>
    <row r="40" spans="1:8" ht="18" customHeight="1" x14ac:dyDescent="0.25">
      <c r="B40" s="85"/>
      <c r="D40" s="460"/>
      <c r="E40" s="460"/>
    </row>
    <row r="41" spans="1:8" ht="18" customHeight="1" x14ac:dyDescent="0.25">
      <c r="B41" s="85"/>
      <c r="D41" s="461"/>
      <c r="E41" s="461"/>
      <c r="F41" s="438" t="str">
        <f>'SPP1'!G35</f>
        <v>Watumalang, 21 April  2025</v>
      </c>
      <c r="G41" s="438"/>
      <c r="H41" s="438"/>
    </row>
    <row r="42" spans="1:8" ht="18" customHeight="1" x14ac:dyDescent="0.25">
      <c r="B42" s="85"/>
      <c r="C42" s="316"/>
      <c r="D42" s="316"/>
      <c r="E42" s="85"/>
      <c r="G42" s="85"/>
    </row>
    <row r="43" spans="1:8" ht="18" customHeight="1" x14ac:dyDescent="0.25">
      <c r="B43" s="85" t="s">
        <v>83</v>
      </c>
      <c r="C43" s="438"/>
      <c r="D43" s="438"/>
      <c r="E43" s="85"/>
      <c r="G43" s="85" t="s">
        <v>273</v>
      </c>
    </row>
    <row r="44" spans="1:8" ht="18" customHeight="1" x14ac:dyDescent="0.25">
      <c r="B44" s="85"/>
      <c r="G44" s="85" t="s">
        <v>58</v>
      </c>
    </row>
    <row r="45" spans="1:8" ht="18" customHeight="1" x14ac:dyDescent="0.25">
      <c r="B45" s="85"/>
      <c r="G45" s="85"/>
    </row>
    <row r="46" spans="1:8" ht="18" customHeight="1" x14ac:dyDescent="0.25">
      <c r="B46" s="85"/>
      <c r="G46" s="85"/>
    </row>
    <row r="47" spans="1:8" ht="18" customHeight="1" x14ac:dyDescent="0.3">
      <c r="B47" s="209" t="str">
        <f>'[2]JML. PEG'!B40</f>
        <v>DEWI ASMARANI H., A.Md</v>
      </c>
      <c r="C47" s="438"/>
      <c r="D47" s="438"/>
      <c r="E47" s="85"/>
      <c r="G47" s="209" t="str">
        <f>'SPP1'!G42</f>
        <v>SOLEH</v>
      </c>
    </row>
    <row r="48" spans="1:8" ht="18" customHeight="1" x14ac:dyDescent="0.25">
      <c r="B48" s="85" t="str">
        <f>'[2]JML. PEG'!B41</f>
        <v>NIP. 19930702 202012 2 010</v>
      </c>
      <c r="C48" s="109"/>
      <c r="G48" s="85" t="str">
        <f>'SPP1'!G43</f>
        <v>NIP. 19710815 201212 1 001</v>
      </c>
    </row>
    <row r="49" spans="1:8" ht="18" customHeight="1" x14ac:dyDescent="0.25"/>
    <row r="50" spans="1:8" ht="18" customHeight="1" x14ac:dyDescent="0.25"/>
    <row r="51" spans="1:8" ht="14.25" customHeight="1" x14ac:dyDescent="0.3">
      <c r="B51" s="68"/>
      <c r="C51" s="258"/>
    </row>
    <row r="52" spans="1:8" ht="15" customHeight="1" x14ac:dyDescent="0.3">
      <c r="C52" s="258"/>
    </row>
    <row r="53" spans="1:8" ht="15" customHeight="1" x14ac:dyDescent="0.25">
      <c r="B53" s="266"/>
    </row>
    <row r="54" spans="1:8" ht="15" customHeight="1" x14ac:dyDescent="0.25">
      <c r="C54" s="267"/>
      <c r="F54" s="267"/>
    </row>
    <row r="55" spans="1:8" ht="15" customHeight="1" x14ac:dyDescent="0.25">
      <c r="C55" s="267"/>
      <c r="F55" s="267"/>
    </row>
    <row r="56" spans="1:8" ht="15" customHeight="1" x14ac:dyDescent="0.25">
      <c r="C56" s="267"/>
      <c r="F56" s="267"/>
    </row>
    <row r="57" spans="1:8" ht="15" customHeight="1" x14ac:dyDescent="0.25">
      <c r="C57" s="267"/>
      <c r="F57" s="267"/>
    </row>
    <row r="58" spans="1:8" ht="24.75" customHeight="1" x14ac:dyDescent="0.25">
      <c r="C58" s="443"/>
      <c r="D58" s="443"/>
      <c r="E58" s="313"/>
      <c r="F58" s="454"/>
      <c r="G58" s="454"/>
      <c r="H58" s="454"/>
    </row>
    <row r="59" spans="1:8" ht="15" customHeight="1" x14ac:dyDescent="0.25">
      <c r="C59" s="267"/>
      <c r="F59" s="268"/>
    </row>
    <row r="60" spans="1:8" ht="15" customHeight="1" x14ac:dyDescent="0.25">
      <c r="C60" s="267"/>
      <c r="F60" s="267"/>
    </row>
    <row r="61" spans="1:8" ht="15" customHeight="1" x14ac:dyDescent="0.25">
      <c r="C61" s="267"/>
      <c r="F61" s="267"/>
    </row>
    <row r="62" spans="1:8" ht="10.5" customHeight="1" x14ac:dyDescent="0.25"/>
    <row r="63" spans="1:8" ht="16" customHeight="1" x14ac:dyDescent="0.25">
      <c r="A63" s="453"/>
      <c r="B63" s="453"/>
      <c r="C63" s="438"/>
      <c r="D63" s="438"/>
      <c r="E63" s="438"/>
      <c r="F63" s="438"/>
      <c r="G63" s="438"/>
      <c r="H63" s="85"/>
    </row>
    <row r="64" spans="1:8" ht="16" customHeight="1" x14ac:dyDescent="0.25">
      <c r="A64" s="453"/>
      <c r="B64" s="453"/>
      <c r="C64" s="85"/>
      <c r="D64" s="85"/>
      <c r="E64" s="85"/>
      <c r="F64" s="85"/>
      <c r="G64" s="85"/>
      <c r="H64" s="85"/>
    </row>
    <row r="65" spans="1:8" ht="16" customHeight="1" x14ac:dyDescent="0.25">
      <c r="A65" s="85"/>
      <c r="B65" s="85"/>
      <c r="C65" s="85"/>
      <c r="D65" s="85"/>
      <c r="E65" s="85"/>
      <c r="F65" s="85"/>
      <c r="G65" s="85"/>
      <c r="H65" s="85"/>
    </row>
    <row r="66" spans="1:8" ht="16" customHeight="1" x14ac:dyDescent="0.25">
      <c r="A66" s="85"/>
      <c r="C66" s="94"/>
      <c r="D66" s="306"/>
      <c r="E66" s="306"/>
      <c r="F66" s="306"/>
      <c r="G66" s="94"/>
      <c r="H66" s="94"/>
    </row>
    <row r="67" spans="1:8" ht="16" customHeight="1" x14ac:dyDescent="0.25">
      <c r="C67" s="94"/>
      <c r="D67" s="94"/>
      <c r="E67" s="94"/>
      <c r="F67" s="94"/>
      <c r="G67" s="94"/>
      <c r="H67" s="94"/>
    </row>
    <row r="68" spans="1:8" ht="16" customHeight="1" x14ac:dyDescent="0.25">
      <c r="C68" s="94"/>
      <c r="D68" s="94"/>
      <c r="E68" s="94"/>
      <c r="F68" s="94"/>
      <c r="G68" s="94"/>
      <c r="H68" s="94"/>
    </row>
    <row r="69" spans="1:8" ht="16" customHeight="1" x14ac:dyDescent="0.25">
      <c r="C69" s="94"/>
      <c r="D69" s="94"/>
      <c r="E69" s="94"/>
      <c r="F69" s="94"/>
      <c r="G69" s="94"/>
      <c r="H69" s="94"/>
    </row>
    <row r="70" spans="1:8" ht="16" customHeight="1" x14ac:dyDescent="0.25">
      <c r="A70" s="85"/>
      <c r="C70" s="94"/>
      <c r="D70" s="94"/>
      <c r="E70" s="94"/>
      <c r="F70" s="94"/>
      <c r="G70" s="94"/>
      <c r="H70" s="94"/>
    </row>
    <row r="71" spans="1:8" ht="16" customHeight="1" x14ac:dyDescent="0.25">
      <c r="C71" s="94"/>
      <c r="D71" s="94"/>
      <c r="E71" s="94"/>
      <c r="F71" s="94"/>
      <c r="G71" s="94"/>
      <c r="H71" s="94"/>
    </row>
    <row r="72" spans="1:8" ht="16" customHeight="1" x14ac:dyDescent="0.25">
      <c r="C72" s="94"/>
      <c r="D72" s="94"/>
      <c r="E72" s="94"/>
      <c r="F72" s="94"/>
      <c r="G72" s="94"/>
      <c r="H72" s="94"/>
    </row>
    <row r="73" spans="1:8" ht="16" customHeight="1" x14ac:dyDescent="0.25">
      <c r="A73" s="85"/>
      <c r="C73" s="94"/>
      <c r="D73" s="94"/>
      <c r="E73" s="94"/>
      <c r="F73" s="94"/>
      <c r="G73" s="94"/>
      <c r="H73" s="94"/>
    </row>
    <row r="74" spans="1:8" ht="16" customHeight="1" x14ac:dyDescent="0.25">
      <c r="C74" s="94"/>
      <c r="D74" s="94"/>
      <c r="E74" s="94"/>
      <c r="F74" s="94"/>
      <c r="G74" s="94"/>
      <c r="H74" s="94"/>
    </row>
    <row r="75" spans="1:8" ht="16" customHeight="1" x14ac:dyDescent="0.25">
      <c r="C75" s="94"/>
      <c r="D75" s="94"/>
      <c r="E75" s="94"/>
      <c r="F75" s="94"/>
      <c r="G75" s="94"/>
      <c r="H75" s="94"/>
    </row>
    <row r="76" spans="1:8" ht="16" customHeight="1" x14ac:dyDescent="0.25">
      <c r="C76" s="94"/>
      <c r="D76" s="94"/>
      <c r="E76" s="94"/>
      <c r="F76" s="94"/>
      <c r="G76" s="94"/>
      <c r="H76" s="94"/>
    </row>
    <row r="77" spans="1:8" ht="16" customHeight="1" x14ac:dyDescent="0.25">
      <c r="C77" s="94"/>
      <c r="D77" s="94"/>
      <c r="E77" s="94"/>
      <c r="F77" s="94"/>
      <c r="G77" s="94"/>
      <c r="H77" s="94"/>
    </row>
    <row r="78" spans="1:8" ht="16" customHeight="1" x14ac:dyDescent="0.25">
      <c r="C78" s="94"/>
      <c r="D78" s="94"/>
      <c r="E78" s="94"/>
      <c r="F78" s="94"/>
      <c r="G78" s="94"/>
      <c r="H78" s="94"/>
    </row>
    <row r="79" spans="1:8" ht="16" customHeight="1" x14ac:dyDescent="0.25">
      <c r="C79" s="94"/>
      <c r="D79" s="94"/>
      <c r="E79" s="94"/>
      <c r="F79" s="94"/>
      <c r="G79" s="94"/>
      <c r="H79" s="94"/>
    </row>
    <row r="80" spans="1:8" ht="16" customHeight="1" x14ac:dyDescent="0.25">
      <c r="C80" s="94"/>
      <c r="D80" s="94"/>
      <c r="E80" s="94"/>
      <c r="F80" s="94"/>
      <c r="G80" s="94"/>
      <c r="H80" s="94"/>
    </row>
    <row r="81" spans="1:8" ht="16" customHeight="1" x14ac:dyDescent="0.25">
      <c r="C81" s="94"/>
      <c r="D81" s="307"/>
      <c r="E81" s="307"/>
      <c r="F81" s="307"/>
      <c r="G81" s="94"/>
      <c r="H81" s="94"/>
    </row>
    <row r="82" spans="1:8" ht="16" customHeight="1" x14ac:dyDescent="0.25">
      <c r="A82" s="85"/>
      <c r="C82" s="94"/>
      <c r="D82" s="94"/>
      <c r="E82" s="94"/>
      <c r="F82" s="94"/>
      <c r="G82" s="94"/>
      <c r="H82" s="94"/>
    </row>
    <row r="83" spans="1:8" s="76" customFormat="1" ht="16" customHeight="1" x14ac:dyDescent="0.3">
      <c r="A83" s="88"/>
      <c r="C83" s="91"/>
      <c r="D83" s="91"/>
      <c r="E83" s="91"/>
      <c r="F83" s="91"/>
      <c r="G83" s="91"/>
      <c r="H83" s="91"/>
    </row>
    <row r="84" spans="1:8" ht="16" customHeight="1" x14ac:dyDescent="0.25">
      <c r="C84" s="94"/>
      <c r="D84" s="94"/>
      <c r="E84" s="94"/>
      <c r="F84" s="94"/>
      <c r="G84" s="94"/>
      <c r="H84" s="94"/>
    </row>
    <row r="85" spans="1:8" ht="16" customHeight="1" x14ac:dyDescent="0.25">
      <c r="C85" s="94"/>
      <c r="D85" s="94"/>
      <c r="E85" s="94"/>
      <c r="F85" s="94"/>
      <c r="G85" s="94"/>
      <c r="H85" s="94"/>
    </row>
    <row r="86" spans="1:8" ht="16" customHeight="1" x14ac:dyDescent="0.25">
      <c r="C86" s="94"/>
      <c r="D86" s="94"/>
      <c r="E86" s="94"/>
      <c r="F86" s="94"/>
      <c r="G86" s="94"/>
      <c r="H86" s="94"/>
    </row>
    <row r="87" spans="1:8" s="76" customFormat="1" ht="16" customHeight="1" x14ac:dyDescent="0.3">
      <c r="A87" s="88"/>
      <c r="C87" s="91"/>
      <c r="D87" s="91"/>
      <c r="E87" s="91"/>
      <c r="F87" s="91"/>
      <c r="G87" s="91"/>
      <c r="H87" s="91"/>
    </row>
    <row r="88" spans="1:8" s="76" customFormat="1" ht="19.5" customHeight="1" x14ac:dyDescent="0.3">
      <c r="A88" s="308"/>
      <c r="B88" s="309"/>
      <c r="C88" s="310"/>
      <c r="D88" s="310"/>
      <c r="E88" s="310"/>
      <c r="F88" s="310"/>
      <c r="G88" s="310"/>
      <c r="H88" s="310"/>
    </row>
    <row r="89" spans="1:8" ht="18" customHeight="1" x14ac:dyDescent="0.25">
      <c r="B89" s="85"/>
    </row>
    <row r="90" spans="1:8" ht="18" customHeight="1" x14ac:dyDescent="0.25">
      <c r="B90" s="85"/>
      <c r="G90" s="85"/>
    </row>
    <row r="91" spans="1:8" ht="18" customHeight="1" x14ac:dyDescent="0.25">
      <c r="B91" s="85"/>
      <c r="C91" s="438"/>
      <c r="D91" s="438"/>
      <c r="E91" s="85"/>
      <c r="G91" s="85"/>
    </row>
    <row r="92" spans="1:8" ht="18" customHeight="1" x14ac:dyDescent="0.25">
      <c r="B92" s="85"/>
      <c r="C92" s="438"/>
      <c r="D92" s="438"/>
      <c r="E92" s="85"/>
      <c r="G92" s="85"/>
    </row>
    <row r="93" spans="1:8" ht="18" customHeight="1" x14ac:dyDescent="0.25">
      <c r="B93" s="85"/>
      <c r="G93" s="85"/>
    </row>
    <row r="94" spans="1:8" ht="18" customHeight="1" x14ac:dyDescent="0.25">
      <c r="B94" s="85"/>
      <c r="G94" s="85"/>
    </row>
    <row r="95" spans="1:8" ht="18" customHeight="1" x14ac:dyDescent="0.25">
      <c r="B95" s="85"/>
      <c r="G95" s="85"/>
    </row>
    <row r="96" spans="1:8" ht="18" customHeight="1" x14ac:dyDescent="0.3">
      <c r="B96" s="209"/>
      <c r="C96" s="438"/>
      <c r="D96" s="438"/>
      <c r="E96" s="85"/>
      <c r="G96" s="209"/>
    </row>
    <row r="97" spans="2:8" ht="18" customHeight="1" x14ac:dyDescent="0.25">
      <c r="B97" s="85"/>
      <c r="C97" s="109"/>
      <c r="G97" s="85"/>
    </row>
    <row r="102" spans="2:8" ht="18" customHeight="1" x14ac:dyDescent="0.3">
      <c r="B102" s="68"/>
      <c r="C102" s="258"/>
    </row>
    <row r="103" spans="2:8" ht="15" customHeight="1" x14ac:dyDescent="0.3">
      <c r="C103" s="258"/>
    </row>
    <row r="104" spans="2:8" ht="15" customHeight="1" x14ac:dyDescent="0.25">
      <c r="B104" s="266"/>
    </row>
    <row r="105" spans="2:8" ht="15" customHeight="1" x14ac:dyDescent="0.25">
      <c r="C105" s="267"/>
      <c r="F105" s="267"/>
    </row>
    <row r="106" spans="2:8" ht="15" customHeight="1" x14ac:dyDescent="0.25">
      <c r="C106" s="267"/>
      <c r="F106" s="267"/>
    </row>
    <row r="107" spans="2:8" ht="15" customHeight="1" x14ac:dyDescent="0.25">
      <c r="C107" s="267"/>
      <c r="F107" s="267"/>
    </row>
    <row r="108" spans="2:8" ht="15" customHeight="1" x14ac:dyDescent="0.25">
      <c r="C108" s="267"/>
      <c r="F108" s="267"/>
    </row>
    <row r="109" spans="2:8" ht="16.5" customHeight="1" x14ac:dyDescent="0.25">
      <c r="C109" s="443"/>
      <c r="D109" s="443"/>
      <c r="E109" s="313"/>
      <c r="F109" s="455"/>
      <c r="G109" s="455"/>
      <c r="H109" s="455"/>
    </row>
    <row r="110" spans="2:8" ht="15" customHeight="1" x14ac:dyDescent="0.25">
      <c r="C110" s="267"/>
      <c r="F110" s="268"/>
    </row>
    <row r="111" spans="2:8" ht="15" customHeight="1" x14ac:dyDescent="0.25">
      <c r="C111" s="267"/>
      <c r="F111" s="311"/>
    </row>
    <row r="112" spans="2:8" ht="15" customHeight="1" x14ac:dyDescent="0.25">
      <c r="C112" s="267"/>
      <c r="F112" s="267"/>
    </row>
    <row r="113" spans="1:8" ht="10.5" customHeight="1" x14ac:dyDescent="0.25"/>
    <row r="114" spans="1:8" ht="16" customHeight="1" x14ac:dyDescent="0.25">
      <c r="A114" s="453"/>
      <c r="B114" s="453"/>
      <c r="C114" s="438"/>
      <c r="D114" s="438"/>
      <c r="E114" s="438"/>
      <c r="F114" s="438"/>
      <c r="G114" s="438"/>
      <c r="H114" s="85"/>
    </row>
    <row r="115" spans="1:8" ht="16" customHeight="1" x14ac:dyDescent="0.25">
      <c r="A115" s="453"/>
      <c r="B115" s="453"/>
      <c r="C115" s="85"/>
      <c r="D115" s="85"/>
      <c r="E115" s="85"/>
      <c r="F115" s="85"/>
      <c r="G115" s="85"/>
      <c r="H115" s="85"/>
    </row>
    <row r="116" spans="1:8" ht="16" customHeight="1" x14ac:dyDescent="0.25">
      <c r="A116" s="85"/>
      <c r="B116" s="85"/>
      <c r="C116" s="85"/>
      <c r="D116" s="85"/>
      <c r="E116" s="85"/>
      <c r="F116" s="85"/>
      <c r="G116" s="85"/>
      <c r="H116" s="85"/>
    </row>
    <row r="117" spans="1:8" ht="16" customHeight="1" x14ac:dyDescent="0.25">
      <c r="A117" s="85"/>
      <c r="C117" s="94"/>
      <c r="D117" s="306"/>
      <c r="E117" s="306"/>
      <c r="F117" s="306"/>
      <c r="G117" s="94"/>
      <c r="H117" s="94"/>
    </row>
    <row r="118" spans="1:8" ht="16" customHeight="1" x14ac:dyDescent="0.25">
      <c r="C118" s="94"/>
      <c r="D118" s="94"/>
      <c r="E118" s="94"/>
      <c r="F118" s="94"/>
      <c r="G118" s="94"/>
      <c r="H118" s="94"/>
    </row>
    <row r="119" spans="1:8" ht="16" customHeight="1" x14ac:dyDescent="0.25">
      <c r="C119" s="94"/>
      <c r="D119" s="94"/>
      <c r="E119" s="94"/>
      <c r="F119" s="94"/>
      <c r="G119" s="94"/>
      <c r="H119" s="94"/>
    </row>
    <row r="120" spans="1:8" ht="16" customHeight="1" x14ac:dyDescent="0.25">
      <c r="C120" s="94"/>
      <c r="D120" s="94"/>
      <c r="E120" s="94"/>
      <c r="F120" s="94"/>
      <c r="G120" s="94"/>
      <c r="H120" s="94"/>
    </row>
    <row r="121" spans="1:8" ht="16" customHeight="1" x14ac:dyDescent="0.25">
      <c r="A121" s="85"/>
      <c r="C121" s="94"/>
      <c r="D121" s="94"/>
      <c r="E121" s="94"/>
      <c r="F121" s="94"/>
      <c r="G121" s="94"/>
      <c r="H121" s="94"/>
    </row>
    <row r="122" spans="1:8" ht="16" customHeight="1" x14ac:dyDescent="0.25">
      <c r="C122" s="94"/>
      <c r="D122" s="94"/>
      <c r="E122" s="94"/>
      <c r="F122" s="94"/>
      <c r="G122" s="94"/>
      <c r="H122" s="94"/>
    </row>
    <row r="123" spans="1:8" ht="16" customHeight="1" x14ac:dyDescent="0.25">
      <c r="C123" s="94"/>
      <c r="D123" s="94"/>
      <c r="E123" s="94"/>
      <c r="F123" s="94"/>
      <c r="G123" s="94"/>
      <c r="H123" s="94"/>
    </row>
    <row r="124" spans="1:8" ht="16" customHeight="1" x14ac:dyDescent="0.25">
      <c r="A124" s="85"/>
      <c r="C124" s="94"/>
      <c r="D124" s="94"/>
      <c r="E124" s="94"/>
      <c r="F124" s="94"/>
      <c r="G124" s="94"/>
      <c r="H124" s="94"/>
    </row>
    <row r="125" spans="1:8" ht="16" customHeight="1" x14ac:dyDescent="0.25">
      <c r="C125" s="94"/>
      <c r="D125" s="94"/>
      <c r="E125" s="94"/>
      <c r="F125" s="94"/>
      <c r="G125" s="94"/>
      <c r="H125" s="94"/>
    </row>
    <row r="126" spans="1:8" ht="16" customHeight="1" x14ac:dyDescent="0.25">
      <c r="C126" s="94"/>
      <c r="D126" s="94"/>
      <c r="E126" s="94"/>
      <c r="F126" s="94"/>
      <c r="G126" s="94"/>
      <c r="H126" s="94"/>
    </row>
    <row r="127" spans="1:8" ht="16" customHeight="1" x14ac:dyDescent="0.25">
      <c r="C127" s="94"/>
      <c r="D127" s="94"/>
      <c r="E127" s="94"/>
      <c r="F127" s="94"/>
      <c r="G127" s="94"/>
      <c r="H127" s="94"/>
    </row>
    <row r="128" spans="1:8" ht="16" customHeight="1" x14ac:dyDescent="0.25">
      <c r="C128" s="94"/>
      <c r="D128" s="94"/>
      <c r="E128" s="94"/>
      <c r="F128" s="94"/>
      <c r="G128" s="94"/>
      <c r="H128" s="94"/>
    </row>
    <row r="129" spans="1:8" ht="16" customHeight="1" x14ac:dyDescent="0.25">
      <c r="C129" s="94"/>
      <c r="D129" s="94"/>
      <c r="E129" s="94"/>
      <c r="F129" s="94"/>
      <c r="G129" s="94"/>
      <c r="H129" s="94"/>
    </row>
    <row r="130" spans="1:8" ht="16" customHeight="1" x14ac:dyDescent="0.25">
      <c r="C130" s="94"/>
      <c r="D130" s="94"/>
      <c r="E130" s="94"/>
      <c r="F130" s="94"/>
      <c r="G130" s="94"/>
      <c r="H130" s="94"/>
    </row>
    <row r="131" spans="1:8" ht="16" customHeight="1" x14ac:dyDescent="0.25">
      <c r="C131" s="94"/>
      <c r="D131" s="94"/>
      <c r="E131" s="94"/>
      <c r="F131" s="94"/>
      <c r="G131" s="94"/>
      <c r="H131" s="94"/>
    </row>
    <row r="132" spans="1:8" ht="16" customHeight="1" x14ac:dyDescent="0.25">
      <c r="C132" s="94"/>
      <c r="D132" s="94"/>
      <c r="E132" s="94"/>
      <c r="F132" s="94"/>
      <c r="G132" s="94"/>
      <c r="H132" s="94"/>
    </row>
    <row r="133" spans="1:8" ht="16" customHeight="1" x14ac:dyDescent="0.25">
      <c r="A133" s="85"/>
      <c r="C133" s="94"/>
      <c r="D133" s="94"/>
      <c r="E133" s="94"/>
      <c r="F133" s="94"/>
      <c r="G133" s="94"/>
      <c r="H133" s="94"/>
    </row>
    <row r="134" spans="1:8" s="76" customFormat="1" ht="16" customHeight="1" x14ac:dyDescent="0.3">
      <c r="A134" s="88"/>
      <c r="C134" s="91"/>
      <c r="D134" s="91"/>
      <c r="E134" s="91"/>
      <c r="F134" s="91"/>
      <c r="G134" s="91"/>
      <c r="H134" s="91"/>
    </row>
    <row r="135" spans="1:8" ht="16" customHeight="1" x14ac:dyDescent="0.25">
      <c r="C135" s="94"/>
      <c r="D135" s="94"/>
      <c r="E135" s="94"/>
      <c r="F135" s="94"/>
      <c r="G135" s="94"/>
      <c r="H135" s="94"/>
    </row>
    <row r="136" spans="1:8" ht="16" customHeight="1" x14ac:dyDescent="0.25">
      <c r="C136" s="94"/>
      <c r="D136" s="94"/>
      <c r="E136" s="94"/>
      <c r="F136" s="94"/>
      <c r="G136" s="94"/>
      <c r="H136" s="94"/>
    </row>
    <row r="137" spans="1:8" ht="16" customHeight="1" x14ac:dyDescent="0.25">
      <c r="C137" s="94"/>
      <c r="D137" s="94"/>
      <c r="E137" s="94"/>
      <c r="F137" s="94"/>
      <c r="G137" s="94"/>
      <c r="H137" s="94"/>
    </row>
    <row r="138" spans="1:8" s="76" customFormat="1" ht="16" customHeight="1" x14ac:dyDescent="0.3">
      <c r="A138" s="88"/>
      <c r="C138" s="91"/>
      <c r="D138" s="91"/>
      <c r="E138" s="91"/>
      <c r="F138" s="91"/>
      <c r="G138" s="91"/>
      <c r="H138" s="91"/>
    </row>
    <row r="139" spans="1:8" s="76" customFormat="1" ht="19.5" customHeight="1" x14ac:dyDescent="0.3">
      <c r="A139" s="308"/>
      <c r="B139" s="309"/>
      <c r="C139" s="310"/>
      <c r="D139" s="310"/>
      <c r="E139" s="310"/>
      <c r="F139" s="310"/>
      <c r="G139" s="310"/>
      <c r="H139" s="310"/>
    </row>
    <row r="140" spans="1:8" ht="18" customHeight="1" x14ac:dyDescent="0.25">
      <c r="B140" s="85"/>
    </row>
    <row r="141" spans="1:8" ht="18" customHeight="1" x14ac:dyDescent="0.25">
      <c r="B141" s="85"/>
      <c r="F141" s="438"/>
      <c r="G141" s="438"/>
      <c r="H141" s="438"/>
    </row>
    <row r="142" spans="1:8" ht="18" customHeight="1" x14ac:dyDescent="0.25">
      <c r="B142" s="85"/>
      <c r="C142" s="438"/>
      <c r="D142" s="438"/>
      <c r="E142" s="85"/>
      <c r="G142" s="85"/>
    </row>
    <row r="143" spans="1:8" ht="18" customHeight="1" x14ac:dyDescent="0.25">
      <c r="B143" s="85"/>
      <c r="C143" s="438"/>
      <c r="D143" s="438"/>
      <c r="E143" s="85"/>
      <c r="F143" s="438"/>
      <c r="G143" s="438"/>
      <c r="H143" s="438"/>
    </row>
    <row r="144" spans="1:8" ht="18" customHeight="1" x14ac:dyDescent="0.25">
      <c r="B144" s="85"/>
      <c r="F144" s="438"/>
      <c r="G144" s="438"/>
      <c r="H144" s="438"/>
    </row>
    <row r="145" spans="2:8" ht="18" customHeight="1" x14ac:dyDescent="0.25">
      <c r="B145" s="85"/>
      <c r="G145" s="85"/>
    </row>
    <row r="146" spans="2:8" ht="18" customHeight="1" x14ac:dyDescent="0.25">
      <c r="B146" s="85"/>
      <c r="G146" s="85"/>
    </row>
    <row r="147" spans="2:8" ht="18" customHeight="1" x14ac:dyDescent="0.3">
      <c r="B147" s="209"/>
      <c r="C147" s="438"/>
      <c r="D147" s="438"/>
      <c r="E147" s="85"/>
      <c r="F147" s="400"/>
      <c r="G147" s="400"/>
      <c r="H147" s="400"/>
    </row>
    <row r="148" spans="2:8" ht="18" customHeight="1" x14ac:dyDescent="0.25">
      <c r="B148" s="85"/>
      <c r="C148" s="109"/>
      <c r="F148" s="438"/>
      <c r="G148" s="438"/>
      <c r="H148" s="438"/>
    </row>
    <row r="153" spans="2:8" ht="18" customHeight="1" x14ac:dyDescent="0.3">
      <c r="B153" s="68"/>
      <c r="C153" s="258"/>
    </row>
    <row r="154" spans="2:8" ht="15" customHeight="1" x14ac:dyDescent="0.3">
      <c r="C154" s="258"/>
    </row>
    <row r="155" spans="2:8" ht="15" customHeight="1" x14ac:dyDescent="0.25">
      <c r="B155" s="266"/>
    </row>
    <row r="156" spans="2:8" ht="15" customHeight="1" x14ac:dyDescent="0.25">
      <c r="C156" s="267"/>
      <c r="F156" s="267"/>
    </row>
    <row r="157" spans="2:8" ht="15" customHeight="1" x14ac:dyDescent="0.25">
      <c r="C157" s="267"/>
      <c r="F157" s="267"/>
    </row>
    <row r="158" spans="2:8" ht="15" customHeight="1" x14ac:dyDescent="0.25">
      <c r="C158" s="267"/>
      <c r="F158" s="267"/>
    </row>
    <row r="159" spans="2:8" ht="15" customHeight="1" x14ac:dyDescent="0.25">
      <c r="C159" s="267"/>
      <c r="F159" s="267"/>
    </row>
    <row r="160" spans="2:8" ht="24.75" customHeight="1" x14ac:dyDescent="0.25">
      <c r="C160" s="443"/>
      <c r="D160" s="443"/>
      <c r="E160" s="313"/>
      <c r="F160" s="454"/>
      <c r="G160" s="454"/>
      <c r="H160" s="454"/>
    </row>
    <row r="161" spans="1:8" ht="15" customHeight="1" x14ac:dyDescent="0.25">
      <c r="C161" s="267"/>
      <c r="F161" s="268"/>
    </row>
    <row r="162" spans="1:8" ht="15" customHeight="1" x14ac:dyDescent="0.25">
      <c r="C162" s="267"/>
      <c r="F162" s="267"/>
    </row>
    <row r="163" spans="1:8" ht="15" customHeight="1" x14ac:dyDescent="0.25">
      <c r="C163" s="267"/>
      <c r="F163" s="267"/>
    </row>
    <row r="164" spans="1:8" ht="10.5" customHeight="1" x14ac:dyDescent="0.25"/>
    <row r="165" spans="1:8" ht="16" customHeight="1" x14ac:dyDescent="0.25">
      <c r="A165" s="453"/>
      <c r="B165" s="453"/>
      <c r="C165" s="438"/>
      <c r="D165" s="438"/>
      <c r="E165" s="438"/>
      <c r="F165" s="438"/>
      <c r="G165" s="438"/>
      <c r="H165" s="85"/>
    </row>
    <row r="166" spans="1:8" ht="16" customHeight="1" x14ac:dyDescent="0.25">
      <c r="A166" s="453"/>
      <c r="B166" s="453"/>
      <c r="C166" s="85"/>
      <c r="D166" s="85"/>
      <c r="E166" s="85"/>
      <c r="F166" s="85"/>
      <c r="G166" s="85"/>
      <c r="H166" s="85"/>
    </row>
    <row r="167" spans="1:8" ht="16" customHeight="1" x14ac:dyDescent="0.25">
      <c r="A167" s="85"/>
      <c r="B167" s="85"/>
      <c r="C167" s="85"/>
      <c r="D167" s="85"/>
      <c r="E167" s="85"/>
      <c r="F167" s="85"/>
      <c r="G167" s="85"/>
      <c r="H167" s="85"/>
    </row>
    <row r="168" spans="1:8" ht="16" customHeight="1" x14ac:dyDescent="0.25">
      <c r="A168" s="85"/>
      <c r="C168" s="94"/>
      <c r="D168" s="306"/>
      <c r="E168" s="306"/>
      <c r="F168" s="306"/>
      <c r="G168" s="94"/>
      <c r="H168" s="94"/>
    </row>
    <row r="169" spans="1:8" ht="16" customHeight="1" x14ac:dyDescent="0.25">
      <c r="C169" s="94"/>
      <c r="D169" s="94"/>
      <c r="E169" s="94"/>
      <c r="F169" s="94"/>
      <c r="G169" s="94"/>
      <c r="H169" s="94"/>
    </row>
    <row r="170" spans="1:8" ht="16" customHeight="1" x14ac:dyDescent="0.25">
      <c r="C170" s="94"/>
      <c r="D170" s="94"/>
      <c r="E170" s="94"/>
      <c r="F170" s="94"/>
      <c r="G170" s="94"/>
      <c r="H170" s="94"/>
    </row>
    <row r="171" spans="1:8" ht="16" customHeight="1" x14ac:dyDescent="0.25">
      <c r="C171" s="94"/>
      <c r="D171" s="94"/>
      <c r="E171" s="94"/>
      <c r="F171" s="94"/>
      <c r="G171" s="94"/>
      <c r="H171" s="94"/>
    </row>
    <row r="172" spans="1:8" ht="16" customHeight="1" x14ac:dyDescent="0.25">
      <c r="A172" s="85"/>
      <c r="C172" s="94"/>
      <c r="D172" s="94"/>
      <c r="E172" s="94"/>
      <c r="F172" s="94"/>
      <c r="G172" s="94"/>
      <c r="H172" s="94"/>
    </row>
    <row r="173" spans="1:8" ht="16" customHeight="1" x14ac:dyDescent="0.25">
      <c r="C173" s="94"/>
      <c r="D173" s="94"/>
      <c r="E173" s="94"/>
      <c r="F173" s="94"/>
      <c r="G173" s="94"/>
      <c r="H173" s="94"/>
    </row>
    <row r="174" spans="1:8" ht="16" customHeight="1" x14ac:dyDescent="0.25">
      <c r="C174" s="94"/>
      <c r="D174" s="94"/>
      <c r="E174" s="94"/>
      <c r="F174" s="94"/>
      <c r="G174" s="94"/>
      <c r="H174" s="94"/>
    </row>
    <row r="175" spans="1:8" ht="16" customHeight="1" x14ac:dyDescent="0.25">
      <c r="A175" s="85"/>
      <c r="C175" s="94"/>
      <c r="D175" s="94"/>
      <c r="E175" s="94"/>
      <c r="F175" s="94"/>
      <c r="G175" s="94"/>
      <c r="H175" s="94"/>
    </row>
    <row r="176" spans="1:8" ht="16" customHeight="1" x14ac:dyDescent="0.25">
      <c r="C176" s="94"/>
      <c r="D176" s="94"/>
      <c r="E176" s="94"/>
      <c r="F176" s="94"/>
      <c r="G176" s="94"/>
      <c r="H176" s="94"/>
    </row>
    <row r="177" spans="1:8" ht="16" customHeight="1" x14ac:dyDescent="0.25">
      <c r="C177" s="94"/>
      <c r="D177" s="94"/>
      <c r="E177" s="94"/>
      <c r="F177" s="94"/>
      <c r="G177" s="94"/>
      <c r="H177" s="94"/>
    </row>
    <row r="178" spans="1:8" ht="16" customHeight="1" x14ac:dyDescent="0.25">
      <c r="C178" s="94"/>
      <c r="D178" s="94"/>
      <c r="E178" s="94"/>
      <c r="F178" s="94"/>
      <c r="G178" s="94"/>
      <c r="H178" s="94"/>
    </row>
    <row r="179" spans="1:8" ht="16" customHeight="1" x14ac:dyDescent="0.25">
      <c r="C179" s="94"/>
      <c r="D179" s="94"/>
      <c r="E179" s="94"/>
      <c r="F179" s="94"/>
      <c r="G179" s="94"/>
      <c r="H179" s="94"/>
    </row>
    <row r="180" spans="1:8" ht="16" customHeight="1" x14ac:dyDescent="0.25">
      <c r="C180" s="94"/>
      <c r="D180" s="94"/>
      <c r="E180" s="94"/>
      <c r="F180" s="94"/>
      <c r="G180" s="94"/>
      <c r="H180" s="94"/>
    </row>
    <row r="181" spans="1:8" ht="16" customHeight="1" x14ac:dyDescent="0.25">
      <c r="C181" s="94"/>
      <c r="D181" s="94"/>
      <c r="E181" s="94"/>
      <c r="F181" s="94"/>
      <c r="G181" s="94"/>
      <c r="H181" s="94"/>
    </row>
    <row r="182" spans="1:8" ht="16" customHeight="1" x14ac:dyDescent="0.25">
      <c r="C182" s="94"/>
      <c r="D182" s="94"/>
      <c r="E182" s="94"/>
      <c r="F182" s="94"/>
      <c r="G182" s="94"/>
      <c r="H182" s="94"/>
    </row>
    <row r="183" spans="1:8" ht="16" customHeight="1" x14ac:dyDescent="0.25">
      <c r="C183" s="94"/>
      <c r="D183" s="307"/>
      <c r="E183" s="307"/>
      <c r="F183" s="307"/>
      <c r="G183" s="94"/>
      <c r="H183" s="94"/>
    </row>
    <row r="184" spans="1:8" ht="16" customHeight="1" x14ac:dyDescent="0.25">
      <c r="A184" s="85"/>
      <c r="C184" s="94"/>
      <c r="D184" s="94"/>
      <c r="E184" s="94"/>
      <c r="F184" s="94"/>
      <c r="G184" s="94"/>
      <c r="H184" s="94"/>
    </row>
    <row r="185" spans="1:8" s="76" customFormat="1" ht="16" customHeight="1" x14ac:dyDescent="0.3">
      <c r="A185" s="88"/>
      <c r="C185" s="91"/>
      <c r="D185" s="91"/>
      <c r="E185" s="91"/>
      <c r="F185" s="91"/>
      <c r="G185" s="91"/>
      <c r="H185" s="91"/>
    </row>
    <row r="186" spans="1:8" ht="16" customHeight="1" x14ac:dyDescent="0.25">
      <c r="C186" s="94"/>
      <c r="D186" s="94"/>
      <c r="E186" s="94"/>
      <c r="F186" s="94"/>
      <c r="G186" s="94"/>
      <c r="H186" s="94"/>
    </row>
    <row r="187" spans="1:8" ht="16" customHeight="1" x14ac:dyDescent="0.25">
      <c r="C187" s="94"/>
      <c r="D187" s="94"/>
      <c r="E187" s="94"/>
      <c r="F187" s="94"/>
      <c r="G187" s="94"/>
      <c r="H187" s="94"/>
    </row>
    <row r="188" spans="1:8" ht="16" customHeight="1" x14ac:dyDescent="0.25">
      <c r="C188" s="94"/>
      <c r="D188" s="94"/>
      <c r="E188" s="94"/>
      <c r="F188" s="94"/>
      <c r="G188" s="94"/>
      <c r="H188" s="94"/>
    </row>
    <row r="189" spans="1:8" s="76" customFormat="1" ht="16" customHeight="1" x14ac:dyDescent="0.3">
      <c r="A189" s="88"/>
      <c r="C189" s="91"/>
      <c r="D189" s="91"/>
      <c r="E189" s="91"/>
      <c r="F189" s="91"/>
      <c r="G189" s="91"/>
      <c r="H189" s="91"/>
    </row>
    <row r="190" spans="1:8" s="76" customFormat="1" ht="19.5" customHeight="1" x14ac:dyDescent="0.3">
      <c r="A190" s="308"/>
      <c r="B190" s="309"/>
      <c r="C190" s="310"/>
      <c r="D190" s="310"/>
      <c r="E190" s="310"/>
      <c r="F190" s="310"/>
      <c r="G190" s="310"/>
      <c r="H190" s="310"/>
    </row>
    <row r="191" spans="1:8" ht="18" customHeight="1" x14ac:dyDescent="0.25">
      <c r="B191" s="85"/>
    </row>
    <row r="192" spans="1:8" ht="18" customHeight="1" x14ac:dyDescent="0.25">
      <c r="B192" s="85"/>
      <c r="G192" s="85"/>
    </row>
    <row r="193" spans="2:8" ht="18" customHeight="1" x14ac:dyDescent="0.25">
      <c r="B193" s="85"/>
      <c r="C193" s="438"/>
      <c r="D193" s="438"/>
      <c r="E193" s="85"/>
      <c r="F193" s="438"/>
      <c r="G193" s="438"/>
      <c r="H193" s="438"/>
    </row>
    <row r="194" spans="2:8" ht="18" customHeight="1" x14ac:dyDescent="0.25">
      <c r="B194" s="85"/>
      <c r="C194" s="438"/>
      <c r="D194" s="438"/>
      <c r="E194" s="85"/>
      <c r="G194" s="85"/>
    </row>
    <row r="195" spans="2:8" ht="18" customHeight="1" x14ac:dyDescent="0.25">
      <c r="B195" s="85"/>
      <c r="G195" s="85"/>
    </row>
    <row r="196" spans="2:8" ht="18" customHeight="1" x14ac:dyDescent="0.25">
      <c r="B196" s="85"/>
      <c r="G196" s="85"/>
    </row>
    <row r="197" spans="2:8" ht="18" customHeight="1" x14ac:dyDescent="0.25">
      <c r="B197" s="85"/>
      <c r="G197" s="85"/>
    </row>
    <row r="198" spans="2:8" ht="18" customHeight="1" x14ac:dyDescent="0.3">
      <c r="B198" s="209"/>
      <c r="C198" s="438"/>
      <c r="D198" s="438"/>
      <c r="E198" s="85"/>
      <c r="G198" s="209"/>
    </row>
    <row r="199" spans="2:8" ht="18" customHeight="1" x14ac:dyDescent="0.25">
      <c r="B199" s="85"/>
      <c r="C199" s="109"/>
      <c r="G199" s="85"/>
    </row>
  </sheetData>
  <mergeCells count="66">
    <mergeCell ref="D28:E28"/>
    <mergeCell ref="C58:D58"/>
    <mergeCell ref="F58:H58"/>
    <mergeCell ref="D36:E36"/>
    <mergeCell ref="D37:E37"/>
    <mergeCell ref="D32:E32"/>
    <mergeCell ref="D33:E33"/>
    <mergeCell ref="D34:E34"/>
    <mergeCell ref="D35:E35"/>
    <mergeCell ref="D15:E15"/>
    <mergeCell ref="D16:E16"/>
    <mergeCell ref="D17:E17"/>
    <mergeCell ref="D18:E18"/>
    <mergeCell ref="D31:E31"/>
    <mergeCell ref="D20:E20"/>
    <mergeCell ref="D21:E21"/>
    <mergeCell ref="D22:E22"/>
    <mergeCell ref="D23:E23"/>
    <mergeCell ref="D24:E24"/>
    <mergeCell ref="D25:E25"/>
    <mergeCell ref="D26:E26"/>
    <mergeCell ref="D19:E19"/>
    <mergeCell ref="D29:E29"/>
    <mergeCell ref="D30:E30"/>
    <mergeCell ref="D27:E27"/>
    <mergeCell ref="C109:D109"/>
    <mergeCell ref="F41:H41"/>
    <mergeCell ref="C43:D43"/>
    <mergeCell ref="C47:D47"/>
    <mergeCell ref="D38:E38"/>
    <mergeCell ref="D39:E39"/>
    <mergeCell ref="D40:E40"/>
    <mergeCell ref="D41:E41"/>
    <mergeCell ref="C96:D96"/>
    <mergeCell ref="C142:D142"/>
    <mergeCell ref="C114:G114"/>
    <mergeCell ref="F141:H141"/>
    <mergeCell ref="C165:G165"/>
    <mergeCell ref="F148:H148"/>
    <mergeCell ref="C143:D143"/>
    <mergeCell ref="F143:H143"/>
    <mergeCell ref="F144:H144"/>
    <mergeCell ref="C147:D147"/>
    <mergeCell ref="F147:H147"/>
    <mergeCell ref="C198:D198"/>
    <mergeCell ref="C160:D160"/>
    <mergeCell ref="B63:B64"/>
    <mergeCell ref="C63:G63"/>
    <mergeCell ref="A114:A115"/>
    <mergeCell ref="B114:B115"/>
    <mergeCell ref="C91:D91"/>
    <mergeCell ref="C92:D92"/>
    <mergeCell ref="A165:A166"/>
    <mergeCell ref="B165:B166"/>
    <mergeCell ref="A63:A64"/>
    <mergeCell ref="F160:H160"/>
    <mergeCell ref="C193:D193"/>
    <mergeCell ref="F193:H193"/>
    <mergeCell ref="C194:D194"/>
    <mergeCell ref="F109:H109"/>
    <mergeCell ref="C8:D8"/>
    <mergeCell ref="F8:H8"/>
    <mergeCell ref="A13:A14"/>
    <mergeCell ref="B13:B14"/>
    <mergeCell ref="C13:G13"/>
    <mergeCell ref="D14:E14"/>
  </mergeCells>
  <pageMargins left="0.76" right="0.21" top="0.75" bottom="1" header="0.5" footer="0.5"/>
  <pageSetup paperSize="256" orientation="portrait" horizontalDpi="4294967293" verticalDpi="180" copies="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D74C-A611-4DC5-9F77-CD5A1A68453B}">
  <sheetPr>
    <tabColor rgb="FF00B050"/>
  </sheetPr>
  <dimension ref="A1:J40"/>
  <sheetViews>
    <sheetView tabSelected="1" view="pageBreakPreview" zoomScale="74" zoomScaleNormal="100" workbookViewId="0">
      <selection activeCell="J14" sqref="J14"/>
    </sheetView>
  </sheetViews>
  <sheetFormatPr defaultColWidth="9.1796875" defaultRowHeight="15.5" x14ac:dyDescent="0.35"/>
  <cols>
    <col min="1" max="1" width="23.54296875" style="48" customWidth="1"/>
    <col min="2" max="2" width="23.54296875" style="48" hidden="1" customWidth="1"/>
    <col min="3" max="7" width="9" style="48" customWidth="1"/>
    <col min="8" max="8" width="18.6328125" style="48" customWidth="1"/>
    <col min="9" max="9" width="9.453125" style="48" customWidth="1"/>
    <col min="10" max="10" width="17.1796875" style="48" customWidth="1"/>
    <col min="11" max="16384" width="9.1796875" style="48"/>
  </cols>
  <sheetData>
    <row r="1" spans="1:9" ht="18" customHeight="1" x14ac:dyDescent="0.35">
      <c r="A1" s="433" t="s">
        <v>81</v>
      </c>
      <c r="B1" s="433"/>
      <c r="C1" s="433"/>
      <c r="D1" s="433"/>
      <c r="E1" s="433"/>
      <c r="F1" s="433"/>
      <c r="G1" s="433"/>
      <c r="H1" s="433"/>
    </row>
    <row r="2" spans="1:9" ht="18" customHeight="1" x14ac:dyDescent="0.35">
      <c r="A2" s="433" t="s">
        <v>47</v>
      </c>
      <c r="B2" s="433"/>
      <c r="C2" s="433"/>
      <c r="D2" s="433"/>
      <c r="E2" s="433"/>
      <c r="F2" s="433"/>
      <c r="G2" s="433"/>
      <c r="H2" s="433"/>
    </row>
    <row r="3" spans="1:9" ht="18" customHeight="1" x14ac:dyDescent="0.35">
      <c r="A3" s="433" t="s">
        <v>48</v>
      </c>
      <c r="B3" s="433"/>
      <c r="C3" s="433"/>
      <c r="D3" s="433"/>
      <c r="E3" s="433"/>
      <c r="F3" s="433"/>
      <c r="G3" s="433"/>
      <c r="H3" s="433"/>
    </row>
    <row r="5" spans="1:9" x14ac:dyDescent="0.35">
      <c r="A5" s="48" t="str">
        <f>"BULAN : "&amp;'ENTRI DATA'!B1</f>
        <v>BULAN : MEI 2025</v>
      </c>
    </row>
    <row r="6" spans="1:9" ht="17.149999999999999" customHeight="1" x14ac:dyDescent="0.35">
      <c r="A6" s="474" t="s">
        <v>49</v>
      </c>
      <c r="B6" s="320"/>
      <c r="C6" s="474" t="s">
        <v>82</v>
      </c>
      <c r="D6" s="478"/>
      <c r="E6" s="478"/>
      <c r="F6" s="478"/>
      <c r="G6" s="479"/>
      <c r="H6" s="476" t="s">
        <v>50</v>
      </c>
    </row>
    <row r="7" spans="1:9" ht="17.149999999999999" customHeight="1" x14ac:dyDescent="0.35">
      <c r="A7" s="475"/>
      <c r="B7" s="321"/>
      <c r="C7" s="96" t="s">
        <v>13</v>
      </c>
      <c r="D7" s="96" t="s">
        <v>51</v>
      </c>
      <c r="E7" s="96" t="s">
        <v>24</v>
      </c>
      <c r="F7" s="96" t="s">
        <v>15</v>
      </c>
      <c r="G7" s="73" t="s">
        <v>316</v>
      </c>
      <c r="H7" s="477"/>
    </row>
    <row r="8" spans="1:9" ht="17.149999999999999" customHeight="1" x14ac:dyDescent="0.35">
      <c r="A8" s="111">
        <v>1</v>
      </c>
      <c r="B8" s="322"/>
      <c r="C8" s="96">
        <v>2</v>
      </c>
      <c r="D8" s="96">
        <v>3</v>
      </c>
      <c r="E8" s="96">
        <v>4</v>
      </c>
      <c r="F8" s="96">
        <v>5</v>
      </c>
      <c r="G8" s="96">
        <v>6</v>
      </c>
      <c r="H8" s="96">
        <v>7</v>
      </c>
    </row>
    <row r="9" spans="1:9" ht="17.149999999999999" customHeight="1" x14ac:dyDescent="0.35">
      <c r="A9" s="323" t="s">
        <v>339</v>
      </c>
      <c r="B9" s="319">
        <v>17</v>
      </c>
      <c r="C9" s="108">
        <v>0</v>
      </c>
      <c r="D9" s="108">
        <v>0</v>
      </c>
      <c r="E9" s="108">
        <v>0</v>
      </c>
      <c r="F9" s="108">
        <f t="shared" ref="F9:G13" si="0">SUMIF(gol_C,A9,peg_c)</f>
        <v>0</v>
      </c>
      <c r="G9" s="112">
        <f t="shared" si="0"/>
        <v>0</v>
      </c>
      <c r="H9" s="112">
        <f>SUM(C9:G9)</f>
        <v>0</v>
      </c>
    </row>
    <row r="10" spans="1:9" ht="17.149999999999999" customHeight="1" x14ac:dyDescent="0.35">
      <c r="A10" s="323" t="s">
        <v>338</v>
      </c>
      <c r="B10" s="319">
        <v>16</v>
      </c>
      <c r="C10" s="108">
        <v>0</v>
      </c>
      <c r="D10" s="108">
        <v>0</v>
      </c>
      <c r="E10" s="108">
        <v>0</v>
      </c>
      <c r="F10" s="108">
        <f t="shared" si="0"/>
        <v>0</v>
      </c>
      <c r="G10" s="112">
        <f t="shared" si="0"/>
        <v>0</v>
      </c>
      <c r="H10" s="112">
        <f t="shared" ref="H10:H28" si="1">SUM(C10:G10)</f>
        <v>0</v>
      </c>
    </row>
    <row r="11" spans="1:9" ht="17.149999999999999" customHeight="1" x14ac:dyDescent="0.35">
      <c r="A11" s="323" t="s">
        <v>337</v>
      </c>
      <c r="B11" s="319">
        <v>15</v>
      </c>
      <c r="C11" s="108">
        <v>0</v>
      </c>
      <c r="D11" s="108">
        <v>0</v>
      </c>
      <c r="E11" s="108">
        <v>0</v>
      </c>
      <c r="F11" s="108">
        <f t="shared" si="0"/>
        <v>0</v>
      </c>
      <c r="G11" s="112">
        <f t="shared" si="0"/>
        <v>0</v>
      </c>
      <c r="H11" s="112">
        <f t="shared" si="1"/>
        <v>0</v>
      </c>
    </row>
    <row r="12" spans="1:9" ht="17.149999999999999" customHeight="1" x14ac:dyDescent="0.35">
      <c r="A12" s="323" t="s">
        <v>336</v>
      </c>
      <c r="B12" s="319">
        <v>14</v>
      </c>
      <c r="C12" s="108">
        <v>0</v>
      </c>
      <c r="D12" s="108">
        <v>0</v>
      </c>
      <c r="E12" s="108">
        <v>0</v>
      </c>
      <c r="F12" s="108">
        <f t="shared" si="0"/>
        <v>0</v>
      </c>
      <c r="G12" s="112">
        <f t="shared" si="0"/>
        <v>0</v>
      </c>
      <c r="H12" s="112">
        <f t="shared" si="1"/>
        <v>0</v>
      </c>
    </row>
    <row r="13" spans="1:9" ht="17.149999999999999" customHeight="1" x14ac:dyDescent="0.35">
      <c r="A13" s="323" t="s">
        <v>335</v>
      </c>
      <c r="B13" s="319" t="s">
        <v>322</v>
      </c>
      <c r="C13" s="108">
        <v>0</v>
      </c>
      <c r="D13" s="108">
        <v>0</v>
      </c>
      <c r="E13" s="108">
        <v>0</v>
      </c>
      <c r="F13" s="108">
        <f t="shared" si="0"/>
        <v>0</v>
      </c>
      <c r="G13" s="112">
        <f t="shared" si="0"/>
        <v>0</v>
      </c>
      <c r="H13" s="112">
        <f t="shared" si="1"/>
        <v>0</v>
      </c>
      <c r="I13" s="103">
        <v>0</v>
      </c>
    </row>
    <row r="14" spans="1:9" ht="17.149999999999999" customHeight="1" x14ac:dyDescent="0.35">
      <c r="A14" s="113" t="s">
        <v>52</v>
      </c>
      <c r="B14" s="113"/>
      <c r="C14" s="114">
        <f t="shared" ref="C14:H14" si="2">SUM(C9:C13)</f>
        <v>0</v>
      </c>
      <c r="D14" s="114">
        <f t="shared" si="2"/>
        <v>0</v>
      </c>
      <c r="E14" s="115">
        <f t="shared" si="2"/>
        <v>0</v>
      </c>
      <c r="F14" s="114">
        <f t="shared" si="2"/>
        <v>0</v>
      </c>
      <c r="G14" s="114">
        <f t="shared" si="2"/>
        <v>0</v>
      </c>
      <c r="H14" s="114">
        <f t="shared" si="2"/>
        <v>0</v>
      </c>
    </row>
    <row r="15" spans="1:9" ht="17.149999999999999" customHeight="1" x14ac:dyDescent="0.35">
      <c r="A15" s="323" t="s">
        <v>334</v>
      </c>
      <c r="B15" s="319" t="s">
        <v>321</v>
      </c>
      <c r="C15" s="108">
        <v>0</v>
      </c>
      <c r="D15" s="108">
        <v>0</v>
      </c>
      <c r="E15" s="108">
        <f>SUMIF(gol_C,A15,peg_c)</f>
        <v>0</v>
      </c>
      <c r="F15" s="108">
        <v>0</v>
      </c>
      <c r="G15" s="112">
        <f>SUMIF(gol_C,B15,peg_c)</f>
        <v>0</v>
      </c>
      <c r="H15" s="112">
        <f t="shared" si="1"/>
        <v>0</v>
      </c>
    </row>
    <row r="16" spans="1:9" ht="17.149999999999999" customHeight="1" x14ac:dyDescent="0.35">
      <c r="A16" s="323" t="s">
        <v>333</v>
      </c>
      <c r="B16" s="319" t="s">
        <v>320</v>
      </c>
      <c r="C16" s="108">
        <v>0</v>
      </c>
      <c r="D16" s="108">
        <v>0</v>
      </c>
      <c r="E16" s="108">
        <f>SUMIF(gol_C,A16,peg_c)</f>
        <v>0</v>
      </c>
      <c r="F16" s="108">
        <v>0</v>
      </c>
      <c r="G16" s="112">
        <f>SUMIF(gol_C,B16,peg_c)</f>
        <v>0</v>
      </c>
      <c r="H16" s="112">
        <f t="shared" si="1"/>
        <v>0</v>
      </c>
    </row>
    <row r="17" spans="1:10" ht="17.149999999999999" customHeight="1" x14ac:dyDescent="0.35">
      <c r="A17" s="323" t="s">
        <v>332</v>
      </c>
      <c r="B17" s="319" t="s">
        <v>319</v>
      </c>
      <c r="C17" s="108">
        <v>0</v>
      </c>
      <c r="D17" s="108">
        <v>0</v>
      </c>
      <c r="E17" s="108">
        <f>SUMIF(gol_C,A17,peg_c)</f>
        <v>0</v>
      </c>
      <c r="F17" s="108">
        <v>0</v>
      </c>
      <c r="G17" s="112">
        <f>SUMIF(gol_C,B17,peg_c)</f>
        <v>0</v>
      </c>
      <c r="H17" s="112">
        <f t="shared" si="1"/>
        <v>0</v>
      </c>
    </row>
    <row r="18" spans="1:10" ht="17.149999999999999" customHeight="1" x14ac:dyDescent="0.35">
      <c r="A18" s="323" t="s">
        <v>331</v>
      </c>
      <c r="B18" s="319" t="s">
        <v>318</v>
      </c>
      <c r="C18" s="108">
        <v>0</v>
      </c>
      <c r="D18" s="108">
        <v>0</v>
      </c>
      <c r="E18" s="108">
        <f>SUMIF(gol_C,A18,peg_c)</f>
        <v>0</v>
      </c>
      <c r="F18" s="108">
        <v>0</v>
      </c>
      <c r="G18" s="112">
        <f>SUMIF(gol_C,B18,peg_c)</f>
        <v>0</v>
      </c>
      <c r="H18" s="112">
        <f t="shared" si="1"/>
        <v>0</v>
      </c>
    </row>
    <row r="19" spans="1:10" ht="17.149999999999999" customHeight="1" x14ac:dyDescent="0.35">
      <c r="A19" s="113" t="s">
        <v>53</v>
      </c>
      <c r="B19" s="113"/>
      <c r="C19" s="115">
        <f t="shared" ref="C19:H19" si="3">SUM(C15:C18)</f>
        <v>0</v>
      </c>
      <c r="D19" s="115">
        <f t="shared" si="3"/>
        <v>0</v>
      </c>
      <c r="E19" s="115">
        <f t="shared" si="3"/>
        <v>0</v>
      </c>
      <c r="F19" s="115">
        <f t="shared" si="3"/>
        <v>0</v>
      </c>
      <c r="G19" s="115">
        <f t="shared" si="3"/>
        <v>0</v>
      </c>
      <c r="H19" s="115">
        <f t="shared" si="3"/>
        <v>0</v>
      </c>
    </row>
    <row r="20" spans="1:10" ht="17.149999999999999" customHeight="1" x14ac:dyDescent="0.35">
      <c r="A20" s="323" t="s">
        <v>330</v>
      </c>
      <c r="B20" s="319" t="s">
        <v>317</v>
      </c>
      <c r="C20" s="108">
        <v>0</v>
      </c>
      <c r="D20" s="108">
        <f>SUMIF(gol_C,B20,peg_c)</f>
        <v>0</v>
      </c>
      <c r="E20" s="108">
        <v>0</v>
      </c>
      <c r="F20" s="108">
        <v>0</v>
      </c>
      <c r="G20" s="112">
        <f>SUMIF(gol_C,B20,peg_c)</f>
        <v>0</v>
      </c>
      <c r="H20" s="112">
        <f t="shared" si="1"/>
        <v>0</v>
      </c>
    </row>
    <row r="21" spans="1:10" ht="17.149999999999999" customHeight="1" x14ac:dyDescent="0.35">
      <c r="A21" s="323" t="s">
        <v>329</v>
      </c>
      <c r="B21" s="319" t="s">
        <v>18</v>
      </c>
      <c r="C21" s="108">
        <v>0</v>
      </c>
      <c r="D21" s="108">
        <v>0</v>
      </c>
      <c r="E21" s="108">
        <v>0</v>
      </c>
      <c r="F21" s="108">
        <v>0</v>
      </c>
      <c r="G21" s="112">
        <f>SUMIF(gol_C,B21,peg_c)</f>
        <v>2</v>
      </c>
      <c r="H21" s="112">
        <f t="shared" si="1"/>
        <v>2</v>
      </c>
    </row>
    <row r="22" spans="1:10" ht="17.149999999999999" customHeight="1" x14ac:dyDescent="0.35">
      <c r="A22" s="323" t="s">
        <v>328</v>
      </c>
      <c r="B22" s="319" t="s">
        <v>277</v>
      </c>
      <c r="C22" s="108">
        <v>0</v>
      </c>
      <c r="D22" s="108">
        <f>SUMIF(gol_C,B22,peg_c)</f>
        <v>0</v>
      </c>
      <c r="E22" s="108">
        <v>0</v>
      </c>
      <c r="F22" s="108">
        <v>0</v>
      </c>
      <c r="G22" s="112">
        <f>SUMIF(gol_C,B22,peg_c)</f>
        <v>0</v>
      </c>
      <c r="H22" s="112">
        <f t="shared" si="1"/>
        <v>0</v>
      </c>
    </row>
    <row r="23" spans="1:10" ht="17.149999999999999" customHeight="1" x14ac:dyDescent="0.35">
      <c r="A23" s="323" t="s">
        <v>327</v>
      </c>
      <c r="B23" s="319" t="s">
        <v>283</v>
      </c>
      <c r="C23" s="108">
        <v>0</v>
      </c>
      <c r="D23" s="108">
        <f>SUMIF(gol_C,B23,peg_c)</f>
        <v>0</v>
      </c>
      <c r="E23" s="108">
        <v>0</v>
      </c>
      <c r="F23" s="108">
        <v>0</v>
      </c>
      <c r="G23" s="112">
        <f>SUMIF(gol_C,B23,peg_c)</f>
        <v>0</v>
      </c>
      <c r="H23" s="112">
        <f t="shared" si="1"/>
        <v>0</v>
      </c>
    </row>
    <row r="24" spans="1:10" ht="17.149999999999999" customHeight="1" x14ac:dyDescent="0.35">
      <c r="A24" s="113" t="s">
        <v>54</v>
      </c>
      <c r="B24" s="113"/>
      <c r="C24" s="115">
        <f>SUM(C20:C23)</f>
        <v>0</v>
      </c>
      <c r="D24" s="115">
        <f t="shared" ref="D24:E24" si="4">SUM(D20:D23)</f>
        <v>0</v>
      </c>
      <c r="E24" s="115">
        <f t="shared" si="4"/>
        <v>0</v>
      </c>
      <c r="F24" s="115">
        <f>SUM(F20:F23)</f>
        <v>0</v>
      </c>
      <c r="G24" s="115">
        <f>SUM(G20:G23)</f>
        <v>2</v>
      </c>
      <c r="H24" s="115">
        <f t="shared" ref="H24" si="5">SUM(H20:H23)</f>
        <v>2</v>
      </c>
    </row>
    <row r="25" spans="1:10" ht="17.149999999999999" customHeight="1" x14ac:dyDescent="0.35">
      <c r="A25" s="323" t="s">
        <v>326</v>
      </c>
      <c r="B25" s="319" t="s">
        <v>15</v>
      </c>
      <c r="C25" s="108">
        <f>SUMIF(gol_C,A25,peg_c)</f>
        <v>0</v>
      </c>
      <c r="D25" s="108">
        <v>0</v>
      </c>
      <c r="E25" s="108">
        <v>0</v>
      </c>
      <c r="F25" s="108">
        <v>0</v>
      </c>
      <c r="G25" s="112">
        <f>SUMIF(gol_C,B25,peg_c)</f>
        <v>0</v>
      </c>
      <c r="H25" s="112">
        <f t="shared" si="1"/>
        <v>0</v>
      </c>
    </row>
    <row r="26" spans="1:10" ht="17.149999999999999" customHeight="1" x14ac:dyDescent="0.35">
      <c r="A26" s="323" t="s">
        <v>325</v>
      </c>
      <c r="B26" s="319" t="s">
        <v>24</v>
      </c>
      <c r="C26" s="108">
        <f>SUMIF(gol_C,A26,peg_c)</f>
        <v>0</v>
      </c>
      <c r="D26" s="108">
        <v>0</v>
      </c>
      <c r="E26" s="108">
        <v>0</v>
      </c>
      <c r="F26" s="108">
        <v>0</v>
      </c>
      <c r="G26" s="112">
        <f>SUMIF(gol_C,B26,peg_c)</f>
        <v>0</v>
      </c>
      <c r="H26" s="112">
        <f t="shared" si="1"/>
        <v>0</v>
      </c>
    </row>
    <row r="27" spans="1:10" ht="17.149999999999999" customHeight="1" x14ac:dyDescent="0.35">
      <c r="A27" s="323" t="s">
        <v>324</v>
      </c>
      <c r="B27" s="319" t="s">
        <v>51</v>
      </c>
      <c r="C27" s="108">
        <f>SUMIF(gol_C,A27,peg_c)</f>
        <v>0</v>
      </c>
      <c r="D27" s="108">
        <v>0</v>
      </c>
      <c r="E27" s="108">
        <v>0</v>
      </c>
      <c r="F27" s="108">
        <v>0</v>
      </c>
      <c r="G27" s="112">
        <f>SUMIF(gol_C,B27,peg_c)</f>
        <v>0</v>
      </c>
      <c r="H27" s="112">
        <f t="shared" si="1"/>
        <v>0</v>
      </c>
    </row>
    <row r="28" spans="1:10" ht="17.149999999999999" customHeight="1" x14ac:dyDescent="0.35">
      <c r="A28" s="323" t="s">
        <v>323</v>
      </c>
      <c r="B28" s="319" t="s">
        <v>13</v>
      </c>
      <c r="C28" s="108">
        <f>SUMIF(gol_C,A28,peg_c)</f>
        <v>0</v>
      </c>
      <c r="D28" s="108">
        <v>0</v>
      </c>
      <c r="E28" s="108">
        <v>0</v>
      </c>
      <c r="F28" s="108">
        <v>0</v>
      </c>
      <c r="G28" s="112">
        <f>SUMIF(gol_C,B28,peg_c)</f>
        <v>0</v>
      </c>
      <c r="H28" s="112">
        <f t="shared" si="1"/>
        <v>0</v>
      </c>
      <c r="J28" s="103"/>
    </row>
    <row r="29" spans="1:10" ht="17.149999999999999" customHeight="1" x14ac:dyDescent="0.35">
      <c r="A29" s="113" t="s">
        <v>55</v>
      </c>
      <c r="B29" s="113"/>
      <c r="C29" s="114">
        <f t="shared" ref="C29:G29" si="6">SUM(C25:C28)</f>
        <v>0</v>
      </c>
      <c r="D29" s="114">
        <f t="shared" si="6"/>
        <v>0</v>
      </c>
      <c r="E29" s="114">
        <f t="shared" si="6"/>
        <v>0</v>
      </c>
      <c r="F29" s="114">
        <f t="shared" si="6"/>
        <v>0</v>
      </c>
      <c r="G29" s="114">
        <f t="shared" si="6"/>
        <v>0</v>
      </c>
      <c r="H29" s="114"/>
    </row>
    <row r="30" spans="1:10" ht="17.149999999999999" customHeight="1" x14ac:dyDescent="0.35">
      <c r="A30" s="116" t="s">
        <v>56</v>
      </c>
      <c r="B30" s="116"/>
      <c r="C30" s="117">
        <f>SUM(C14+C19+C24+C29)</f>
        <v>0</v>
      </c>
      <c r="D30" s="117">
        <f t="shared" ref="D30:H30" si="7">SUM(D14+D19+D24+D29)</f>
        <v>0</v>
      </c>
      <c r="E30" s="117">
        <f t="shared" si="7"/>
        <v>0</v>
      </c>
      <c r="F30" s="117">
        <f t="shared" si="7"/>
        <v>0</v>
      </c>
      <c r="G30" s="117">
        <f t="shared" si="7"/>
        <v>2</v>
      </c>
      <c r="H30" s="117">
        <f t="shared" si="7"/>
        <v>2</v>
      </c>
    </row>
    <row r="31" spans="1:10" ht="16" customHeight="1" x14ac:dyDescent="0.35">
      <c r="A31" s="118"/>
      <c r="B31" s="118"/>
    </row>
    <row r="32" spans="1:10" ht="16" customHeight="1" x14ac:dyDescent="0.35">
      <c r="A32" s="118"/>
      <c r="B32" s="118"/>
    </row>
    <row r="33" spans="1:9" x14ac:dyDescent="0.35">
      <c r="E33" s="439" t="str">
        <f>'SPP1'!G35</f>
        <v>Watumalang, 21 April  2025</v>
      </c>
      <c r="F33" s="439"/>
      <c r="G33" s="439"/>
      <c r="H33" s="439"/>
      <c r="I33" s="317"/>
    </row>
    <row r="34" spans="1:9" x14ac:dyDescent="0.35">
      <c r="E34" s="439" t="s">
        <v>57</v>
      </c>
      <c r="F34" s="439"/>
      <c r="G34" s="439"/>
      <c r="H34" s="439"/>
      <c r="I34" s="317"/>
    </row>
    <row r="35" spans="1:9" x14ac:dyDescent="0.35">
      <c r="A35" s="472" t="s">
        <v>83</v>
      </c>
      <c r="B35" s="472"/>
      <c r="C35" s="472"/>
      <c r="E35" s="439" t="s">
        <v>58</v>
      </c>
      <c r="F35" s="439"/>
      <c r="G35" s="439"/>
      <c r="H35" s="439"/>
      <c r="I35" s="317"/>
    </row>
    <row r="36" spans="1:9" x14ac:dyDescent="0.35">
      <c r="C36" s="119"/>
    </row>
    <row r="37" spans="1:9" x14ac:dyDescent="0.35">
      <c r="C37" s="120"/>
    </row>
    <row r="38" spans="1:9" x14ac:dyDescent="0.35">
      <c r="C38" s="120"/>
    </row>
    <row r="39" spans="1:9" x14ac:dyDescent="0.35">
      <c r="A39" s="473" t="s">
        <v>84</v>
      </c>
      <c r="B39" s="473"/>
      <c r="C39" s="473"/>
      <c r="E39" s="432" t="str">
        <f>'SPP1'!G42</f>
        <v>SOLEH</v>
      </c>
      <c r="F39" s="432"/>
      <c r="G39" s="432"/>
      <c r="H39" s="432"/>
      <c r="I39" s="318"/>
    </row>
    <row r="40" spans="1:9" x14ac:dyDescent="0.35">
      <c r="A40" s="472" t="s">
        <v>85</v>
      </c>
      <c r="B40" s="472"/>
      <c r="C40" s="472"/>
      <c r="E40" s="439" t="str">
        <f>'SPP1'!G43</f>
        <v>NIP. 19710815 201212 1 001</v>
      </c>
      <c r="F40" s="439"/>
      <c r="G40" s="439"/>
      <c r="H40" s="439"/>
      <c r="I40" s="317"/>
    </row>
  </sheetData>
  <mergeCells count="14">
    <mergeCell ref="A35:C35"/>
    <mergeCell ref="A39:C39"/>
    <mergeCell ref="A40:C40"/>
    <mergeCell ref="A1:H1"/>
    <mergeCell ref="A2:H2"/>
    <mergeCell ref="A3:H3"/>
    <mergeCell ref="A6:A7"/>
    <mergeCell ref="H6:H7"/>
    <mergeCell ref="E33:H33"/>
    <mergeCell ref="E34:H34"/>
    <mergeCell ref="E35:H35"/>
    <mergeCell ref="E39:H39"/>
    <mergeCell ref="E40:H40"/>
    <mergeCell ref="C6:G6"/>
  </mergeCells>
  <printOptions horizontalCentered="1"/>
  <pageMargins left="0.25" right="0.25" top="0.75" bottom="0.75" header="0.3" footer="0.3"/>
  <pageSetup paperSize="256" orientation="portrait" horizontalDpi="4294967293" verticalDpi="18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3E3E-0AF4-40C3-93EB-405461FADE62}">
  <sheetPr>
    <tabColor rgb="FFFFFF00"/>
  </sheetPr>
  <dimension ref="A1:AC29"/>
  <sheetViews>
    <sheetView topLeftCell="A22" zoomScaleNormal="100" workbookViewId="0">
      <pane xSplit="2" topLeftCell="C1" activePane="topRight" state="frozen"/>
      <selection pane="topRight" activeCell="G18" sqref="G18"/>
    </sheetView>
  </sheetViews>
  <sheetFormatPr defaultColWidth="9.7265625" defaultRowHeight="12.5" x14ac:dyDescent="0.25"/>
  <cols>
    <col min="1" max="1" width="7.6328125" style="3" customWidth="1"/>
    <col min="2" max="2" width="7.54296875" style="3" customWidth="1"/>
    <col min="3" max="3" width="7.36328125" style="3" customWidth="1"/>
    <col min="4" max="4" width="6.90625" style="3" customWidth="1"/>
    <col min="5" max="5" width="5.6328125" style="3" customWidth="1"/>
    <col min="6" max="6" width="5.54296875" style="3" customWidth="1"/>
    <col min="7" max="8" width="12.453125" style="3" customWidth="1"/>
    <col min="9" max="9" width="10.1796875" style="3" bestFit="1" customWidth="1"/>
    <col min="10" max="10" width="11" style="3" customWidth="1"/>
    <col min="11" max="11" width="11" style="3" hidden="1" customWidth="1"/>
    <col min="12" max="12" width="11" style="3" customWidth="1"/>
    <col min="13" max="13" width="10.81640625" style="3" customWidth="1"/>
    <col min="14" max="14" width="10" style="3" bestFit="1" customWidth="1"/>
    <col min="15" max="15" width="6.54296875" style="3" customWidth="1"/>
    <col min="16" max="16" width="10.36328125" style="3" customWidth="1"/>
    <col min="17" max="17" width="9.36328125" style="3" customWidth="1"/>
    <col min="18" max="18" width="7" style="3" customWidth="1"/>
    <col min="19" max="19" width="11.1796875" style="3" bestFit="1" customWidth="1"/>
    <col min="20" max="20" width="11.1796875" style="3" customWidth="1"/>
    <col min="21" max="21" width="10.1796875" style="3" bestFit="1" customWidth="1"/>
    <col min="22" max="22" width="7.453125" style="3" customWidth="1"/>
    <col min="23" max="23" width="10" style="3" bestFit="1" customWidth="1"/>
    <col min="24" max="24" width="11.1796875" style="3" customWidth="1"/>
    <col min="25" max="25" width="12.453125" style="3" customWidth="1"/>
    <col min="26" max="26" width="14.26953125" style="3" customWidth="1"/>
    <col min="27" max="27" width="5.81640625" style="3" customWidth="1"/>
    <col min="28" max="28" width="13.81640625" style="3" bestFit="1" customWidth="1"/>
    <col min="29" max="29" width="14.453125" style="3" customWidth="1"/>
    <col min="30" max="16384" width="9.7265625" style="3"/>
  </cols>
  <sheetData>
    <row r="1" spans="1:29" ht="12.5" customHeight="1" x14ac:dyDescent="0.25">
      <c r="A1" s="489" t="s">
        <v>0</v>
      </c>
      <c r="B1" s="490" t="s">
        <v>1</v>
      </c>
      <c r="C1" s="494"/>
      <c r="D1" s="494"/>
      <c r="E1" s="494"/>
      <c r="F1" s="498" t="s">
        <v>39</v>
      </c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498"/>
      <c r="U1" s="483" t="s">
        <v>12</v>
      </c>
      <c r="V1" s="484"/>
      <c r="W1" s="484"/>
      <c r="X1" s="484"/>
      <c r="Y1" s="485"/>
      <c r="Z1" s="486" t="s">
        <v>80</v>
      </c>
    </row>
    <row r="2" spans="1:29" ht="24.75" customHeight="1" x14ac:dyDescent="0.25">
      <c r="A2" s="489"/>
      <c r="B2" s="490"/>
      <c r="C2" s="497" t="s">
        <v>2</v>
      </c>
      <c r="D2" s="496" t="s">
        <v>3</v>
      </c>
      <c r="E2" s="495" t="s">
        <v>42</v>
      </c>
      <c r="F2" s="491" t="s">
        <v>16</v>
      </c>
      <c r="G2" s="493" t="s">
        <v>5</v>
      </c>
      <c r="H2" s="491" t="s">
        <v>6</v>
      </c>
      <c r="I2" s="491" t="s">
        <v>4</v>
      </c>
      <c r="J2" s="492" t="s">
        <v>46</v>
      </c>
      <c r="K2" s="500" t="s">
        <v>187</v>
      </c>
      <c r="L2" s="481" t="s">
        <v>35</v>
      </c>
      <c r="M2" s="481"/>
      <c r="N2" s="481"/>
      <c r="O2" s="481"/>
      <c r="P2" s="481" t="s">
        <v>10</v>
      </c>
      <c r="Q2" s="481" t="s">
        <v>11</v>
      </c>
      <c r="R2" s="482" t="s">
        <v>7</v>
      </c>
      <c r="S2" s="492" t="s">
        <v>44</v>
      </c>
      <c r="T2" s="492" t="s">
        <v>45</v>
      </c>
      <c r="U2" s="493" t="s">
        <v>11</v>
      </c>
      <c r="V2" s="497" t="s">
        <v>40</v>
      </c>
      <c r="W2" s="499" t="s">
        <v>8</v>
      </c>
      <c r="X2" s="490" t="s">
        <v>9</v>
      </c>
      <c r="Y2" s="489" t="s">
        <v>41</v>
      </c>
      <c r="Z2" s="487"/>
    </row>
    <row r="3" spans="1:29" ht="14.5" customHeight="1" x14ac:dyDescent="0.25">
      <c r="A3" s="489"/>
      <c r="B3" s="490"/>
      <c r="C3" s="497"/>
      <c r="D3" s="496"/>
      <c r="E3" s="495"/>
      <c r="F3" s="491"/>
      <c r="G3" s="493"/>
      <c r="H3" s="491"/>
      <c r="I3" s="491"/>
      <c r="J3" s="492"/>
      <c r="K3" s="501"/>
      <c r="L3" s="16" t="s">
        <v>36</v>
      </c>
      <c r="M3" s="16" t="s">
        <v>43</v>
      </c>
      <c r="N3" s="19" t="s">
        <v>37</v>
      </c>
      <c r="O3" s="19" t="s">
        <v>38</v>
      </c>
      <c r="P3" s="481"/>
      <c r="Q3" s="481"/>
      <c r="R3" s="482"/>
      <c r="S3" s="492"/>
      <c r="T3" s="492"/>
      <c r="U3" s="493"/>
      <c r="V3" s="497"/>
      <c r="W3" s="499"/>
      <c r="X3" s="490"/>
      <c r="Y3" s="490"/>
      <c r="Z3" s="488"/>
    </row>
    <row r="4" spans="1:29" ht="18" x14ac:dyDescent="0.25">
      <c r="A4" s="2">
        <v>1</v>
      </c>
      <c r="B4" s="2">
        <f t="shared" ref="B4:Z4" si="0">A4+1</f>
        <v>2</v>
      </c>
      <c r="C4" s="2">
        <f>B4+1</f>
        <v>3</v>
      </c>
      <c r="D4" s="2">
        <f t="shared" si="0"/>
        <v>4</v>
      </c>
      <c r="E4" s="2">
        <f t="shared" si="0"/>
        <v>5</v>
      </c>
      <c r="F4" s="2">
        <f t="shared" si="0"/>
        <v>6</v>
      </c>
      <c r="G4" s="2">
        <f t="shared" si="0"/>
        <v>7</v>
      </c>
      <c r="H4" s="2">
        <f t="shared" si="0"/>
        <v>8</v>
      </c>
      <c r="I4" s="2">
        <f t="shared" si="0"/>
        <v>9</v>
      </c>
      <c r="J4" s="2">
        <f t="shared" si="0"/>
        <v>10</v>
      </c>
      <c r="K4" s="2"/>
      <c r="L4" s="2">
        <f>J4+1</f>
        <v>11</v>
      </c>
      <c r="M4" s="2">
        <f t="shared" si="0"/>
        <v>12</v>
      </c>
      <c r="N4" s="2">
        <f t="shared" si="0"/>
        <v>13</v>
      </c>
      <c r="O4" s="2">
        <f t="shared" si="0"/>
        <v>14</v>
      </c>
      <c r="P4" s="2">
        <f>O4+1</f>
        <v>15</v>
      </c>
      <c r="Q4" s="2">
        <f t="shared" si="0"/>
        <v>16</v>
      </c>
      <c r="R4" s="2">
        <f t="shared" si="0"/>
        <v>17</v>
      </c>
      <c r="S4" s="2">
        <f t="shared" si="0"/>
        <v>18</v>
      </c>
      <c r="T4" s="2">
        <f t="shared" si="0"/>
        <v>19</v>
      </c>
      <c r="U4" s="2">
        <f t="shared" si="0"/>
        <v>20</v>
      </c>
      <c r="V4" s="2">
        <f t="shared" si="0"/>
        <v>21</v>
      </c>
      <c r="W4" s="2">
        <f t="shared" si="0"/>
        <v>22</v>
      </c>
      <c r="X4" s="2">
        <f t="shared" si="0"/>
        <v>23</v>
      </c>
      <c r="Y4" s="2">
        <f t="shared" si="0"/>
        <v>24</v>
      </c>
      <c r="Z4" s="2">
        <f t="shared" si="0"/>
        <v>25</v>
      </c>
    </row>
    <row r="5" spans="1:29" s="4" customFormat="1" ht="17.5" customHeight="1" x14ac:dyDescent="0.25">
      <c r="A5" s="480" t="s">
        <v>34</v>
      </c>
      <c r="B5" s="1" t="s">
        <v>15</v>
      </c>
      <c r="C5" s="10">
        <f>SUM(C6:C9)</f>
        <v>0</v>
      </c>
      <c r="D5" s="10">
        <f>SUM(D6:D9)</f>
        <v>0</v>
      </c>
      <c r="E5" s="10">
        <f>SUM(E6:E9)</f>
        <v>0</v>
      </c>
      <c r="F5" s="10">
        <f>SUM(F6:F9)</f>
        <v>0</v>
      </c>
      <c r="G5" s="10">
        <f>SUM(G6:G9)</f>
        <v>0</v>
      </c>
      <c r="H5" s="10">
        <f t="shared" ref="H5" si="1">SUM(H6:H9)</f>
        <v>0</v>
      </c>
      <c r="I5" s="10">
        <f>SUM(I6:I9)</f>
        <v>0</v>
      </c>
      <c r="J5" s="9">
        <f>G5+H5+I5</f>
        <v>0</v>
      </c>
      <c r="K5" s="9">
        <f>SUM(K6:K9)</f>
        <v>0</v>
      </c>
      <c r="L5" s="10">
        <f t="shared" ref="L5:R5" si="2">SUM(L6:L9)</f>
        <v>0</v>
      </c>
      <c r="M5" s="10">
        <f t="shared" si="2"/>
        <v>0</v>
      </c>
      <c r="N5" s="10">
        <f t="shared" si="2"/>
        <v>0</v>
      </c>
      <c r="O5" s="10">
        <f t="shared" si="2"/>
        <v>0</v>
      </c>
      <c r="P5" s="10">
        <f t="shared" si="2"/>
        <v>0</v>
      </c>
      <c r="Q5" s="10">
        <f t="shared" si="2"/>
        <v>0</v>
      </c>
      <c r="R5" s="10">
        <f t="shared" si="2"/>
        <v>0</v>
      </c>
      <c r="S5" s="10">
        <f t="shared" ref="S5:S24" si="3">L5+M5+N5+O5+P5+Q5+R5</f>
        <v>0</v>
      </c>
      <c r="T5" s="21">
        <f t="shared" ref="T5:T24" si="4">S5+J5</f>
        <v>0</v>
      </c>
      <c r="U5" s="10">
        <f>SUM(U6:U9)</f>
        <v>0</v>
      </c>
      <c r="V5" s="10">
        <f>SUM(V6:V9)</f>
        <v>0</v>
      </c>
      <c r="W5" s="10">
        <f t="shared" ref="W5:X5" si="5">SUM(W6:W9)</f>
        <v>0</v>
      </c>
      <c r="X5" s="10">
        <f t="shared" si="5"/>
        <v>0</v>
      </c>
      <c r="Y5" s="10">
        <f t="shared" ref="Y5:Y24" si="6">SUM(U5:X5)</f>
        <v>0</v>
      </c>
      <c r="Z5" s="9">
        <f>hasil_kotor-jml_kotor</f>
        <v>0</v>
      </c>
    </row>
    <row r="6" spans="1:29" ht="17.5" customHeight="1" x14ac:dyDescent="0.25">
      <c r="A6" s="480"/>
      <c r="B6" s="11" t="s">
        <v>29</v>
      </c>
      <c r="C6" s="12">
        <f>SUMIF(gol_C,B6,peg_c)</f>
        <v>0</v>
      </c>
      <c r="D6" s="12">
        <f>IFERROR(VLOOKUP(B6,data,3,FALSE), 0)</f>
        <v>0</v>
      </c>
      <c r="E6" s="12">
        <f>IFERROR(VLOOKUP(B6,data,4,FALSE), 0)</f>
        <v>0</v>
      </c>
      <c r="F6" s="5">
        <f t="shared" ref="F6:F24" si="7">SUM(C6:E6)</f>
        <v>0</v>
      </c>
      <c r="G6" s="12">
        <f>SUMIF(gol_C,B6,gapok_c)</f>
        <v>0</v>
      </c>
      <c r="H6" s="12">
        <f>SUMIF(gol_C,B6,tunis_C)</f>
        <v>0</v>
      </c>
      <c r="I6" s="12">
        <f>SUMIF(gol_C,B6,tuna_c)</f>
        <v>0</v>
      </c>
      <c r="J6" s="17">
        <f>G6+H6+I6</f>
        <v>0</v>
      </c>
      <c r="K6" s="17">
        <f>SUM(H6:I6)</f>
        <v>0</v>
      </c>
      <c r="L6" s="12">
        <f>SUMIF(gol_C,B6,tunc_esel)</f>
        <v>0</v>
      </c>
      <c r="M6" s="12">
        <f>SUMIF(gol_C,B6,tunc_um)</f>
        <v>0</v>
      </c>
      <c r="N6" s="12">
        <f>SUMIF(gol_C,B6,tunc_fu)</f>
        <v>0</v>
      </c>
      <c r="O6" s="12">
        <v>0</v>
      </c>
      <c r="P6" s="12">
        <f>SUMIF(gol_C,B6,tunc_ber)</f>
        <v>0</v>
      </c>
      <c r="Q6" s="12">
        <f>SUMIF(gol_C,B6,tunc_paj)</f>
        <v>0</v>
      </c>
      <c r="R6" s="12">
        <f>SUMIF(gol_C,B6,tunc_bulat)</f>
        <v>0</v>
      </c>
      <c r="S6" s="18">
        <f t="shared" si="3"/>
        <v>0</v>
      </c>
      <c r="T6" s="20">
        <f t="shared" si="4"/>
        <v>0</v>
      </c>
      <c r="U6" s="12">
        <f>Q6</f>
        <v>0</v>
      </c>
      <c r="V6" s="12">
        <v>0</v>
      </c>
      <c r="W6" s="12">
        <f>SUMIF(gol_C,B6,iwpC1)</f>
        <v>0</v>
      </c>
      <c r="X6" s="12">
        <f>SUMIF(gol_C,B6,iwpc8)</f>
        <v>0</v>
      </c>
      <c r="Y6" s="13">
        <f t="shared" si="6"/>
        <v>0</v>
      </c>
      <c r="Z6" s="14">
        <f>T6-Y6</f>
        <v>0</v>
      </c>
    </row>
    <row r="7" spans="1:29" ht="17.5" customHeight="1" x14ac:dyDescent="0.25">
      <c r="A7" s="480"/>
      <c r="B7" s="11" t="s">
        <v>30</v>
      </c>
      <c r="C7" s="12">
        <f>SUMIF(gol_C,B7,peg_c)</f>
        <v>0</v>
      </c>
      <c r="D7" s="12">
        <f>IFERROR(VLOOKUP(B7,data,3,FALSE), 0)</f>
        <v>0</v>
      </c>
      <c r="E7" s="12">
        <f>IFERROR(VLOOKUP(B7,data,4,FALSE), 0)</f>
        <v>0</v>
      </c>
      <c r="F7" s="5">
        <f t="shared" si="7"/>
        <v>0</v>
      </c>
      <c r="G7" s="12">
        <f>SUMIF(gol_C,B7,gapok_c)</f>
        <v>0</v>
      </c>
      <c r="H7" s="12">
        <f>SUMIF(gol_C,B7,tunis_C)</f>
        <v>0</v>
      </c>
      <c r="I7" s="12">
        <f>SUMIF(gol_C,B7,tuna_c)</f>
        <v>0</v>
      </c>
      <c r="J7" s="17">
        <f t="shared" ref="J7:J9" si="8">G7+H7+I7</f>
        <v>0</v>
      </c>
      <c r="K7" s="17">
        <f>SUM(H7:I7)</f>
        <v>0</v>
      </c>
      <c r="L7" s="12">
        <f>SUMIF(gol_C,B7,tunc_esel)</f>
        <v>0</v>
      </c>
      <c r="M7" s="12">
        <f>SUMIF(gol_C,B7,tunc_um)</f>
        <v>0</v>
      </c>
      <c r="N7" s="12">
        <f>SUMIF(gol_C,B7,tunc_fu)</f>
        <v>0</v>
      </c>
      <c r="O7" s="12">
        <v>0</v>
      </c>
      <c r="P7" s="12">
        <f>SUMIF(gol_C,B7,tunc_ber)</f>
        <v>0</v>
      </c>
      <c r="Q7" s="12">
        <f>SUMIF(gol_C,B7,tunc_paj)</f>
        <v>0</v>
      </c>
      <c r="R7" s="12">
        <f>SUMIF(gol_C,B7,tunc_bulat)</f>
        <v>0</v>
      </c>
      <c r="S7" s="18">
        <f t="shared" si="3"/>
        <v>0</v>
      </c>
      <c r="T7" s="20">
        <f t="shared" si="4"/>
        <v>0</v>
      </c>
      <c r="U7" s="12">
        <f t="shared" ref="U7:U9" si="9">Q7</f>
        <v>0</v>
      </c>
      <c r="V7" s="12">
        <v>0</v>
      </c>
      <c r="W7" s="12">
        <f>SUMIF(gol_C,B7,iwpC1)</f>
        <v>0</v>
      </c>
      <c r="X7" s="12">
        <f>SUMIF(gol_C,B7,iwpc8)</f>
        <v>0</v>
      </c>
      <c r="Y7" s="13">
        <f t="shared" si="6"/>
        <v>0</v>
      </c>
      <c r="Z7" s="14">
        <f t="shared" ref="Z7:Z9" si="10">T7-Y7</f>
        <v>0</v>
      </c>
    </row>
    <row r="8" spans="1:29" ht="17.5" customHeight="1" x14ac:dyDescent="0.25">
      <c r="A8" s="480"/>
      <c r="B8" s="11" t="s">
        <v>31</v>
      </c>
      <c r="C8" s="12">
        <f>SUMIF(gol_C,B8,peg_c)</f>
        <v>0</v>
      </c>
      <c r="D8" s="12">
        <f>IFERROR(VLOOKUP(B8,data,3,FALSE), 0)</f>
        <v>0</v>
      </c>
      <c r="E8" s="12">
        <f>IFERROR(VLOOKUP(B8,data,4,FALSE), 0)</f>
        <v>0</v>
      </c>
      <c r="F8" s="5">
        <f t="shared" si="7"/>
        <v>0</v>
      </c>
      <c r="G8" s="12">
        <f>SUMIF(gol_C,B8,gapok_c)</f>
        <v>0</v>
      </c>
      <c r="H8" s="12">
        <f>SUMIF(gol_C,B8,tunis_C)</f>
        <v>0</v>
      </c>
      <c r="I8" s="12">
        <f>SUMIF(gol_C,B8,tuna_c)</f>
        <v>0</v>
      </c>
      <c r="J8" s="17">
        <f t="shared" si="8"/>
        <v>0</v>
      </c>
      <c r="K8" s="17">
        <f>SUM(H8:I8)</f>
        <v>0</v>
      </c>
      <c r="L8" s="12">
        <f>SUMIF(gol_C,B8,tunc_esel)</f>
        <v>0</v>
      </c>
      <c r="M8" s="12">
        <f>SUMIF(gol_C,B8,tunc_um)</f>
        <v>0</v>
      </c>
      <c r="N8" s="12">
        <f>SUMIF(gol_C,B8,tunc_fu)</f>
        <v>0</v>
      </c>
      <c r="O8" s="12">
        <v>0</v>
      </c>
      <c r="P8" s="12">
        <f>SUMIF(gol_C,B8,tunc_ber)</f>
        <v>0</v>
      </c>
      <c r="Q8" s="12">
        <f>SUMIF(gol_C,B8,tunc_paj)</f>
        <v>0</v>
      </c>
      <c r="R8" s="12">
        <f>SUMIF(gol_C,B8,tunc_bulat)</f>
        <v>0</v>
      </c>
      <c r="S8" s="18">
        <f t="shared" si="3"/>
        <v>0</v>
      </c>
      <c r="T8" s="20">
        <f t="shared" si="4"/>
        <v>0</v>
      </c>
      <c r="U8" s="12">
        <f t="shared" si="9"/>
        <v>0</v>
      </c>
      <c r="V8" s="12">
        <v>0</v>
      </c>
      <c r="W8" s="12">
        <f>SUMIF(gol_C,B8,iwpC1)</f>
        <v>0</v>
      </c>
      <c r="X8" s="12">
        <f>SUMIF(gol_C,B8,iwpc8)</f>
        <v>0</v>
      </c>
      <c r="Y8" s="13">
        <f t="shared" si="6"/>
        <v>0</v>
      </c>
      <c r="Z8" s="14">
        <f t="shared" si="10"/>
        <v>0</v>
      </c>
    </row>
    <row r="9" spans="1:29" ht="17.5" customHeight="1" x14ac:dyDescent="0.25">
      <c r="A9" s="480"/>
      <c r="B9" s="11" t="s">
        <v>32</v>
      </c>
      <c r="C9" s="12">
        <f>SUMIF(gol_C,B9,peg_c)</f>
        <v>0</v>
      </c>
      <c r="D9" s="12">
        <f>IFERROR(VLOOKUP(B9,data,3,FALSE), 0)</f>
        <v>0</v>
      </c>
      <c r="E9" s="12">
        <f>IFERROR(VLOOKUP(B9,data,4,FALSE), 0)</f>
        <v>0</v>
      </c>
      <c r="F9" s="5">
        <f t="shared" si="7"/>
        <v>0</v>
      </c>
      <c r="G9" s="12">
        <f>SUMIF(gol_C,B9,gapok_c)</f>
        <v>0</v>
      </c>
      <c r="H9" s="12">
        <f>SUMIF(gol_C,B9,tunis_C)</f>
        <v>0</v>
      </c>
      <c r="I9" s="12">
        <f>SUMIF(gol_C,B9,tuna_c)</f>
        <v>0</v>
      </c>
      <c r="J9" s="17">
        <f t="shared" si="8"/>
        <v>0</v>
      </c>
      <c r="K9" s="17">
        <f>SUM(H9:I9)</f>
        <v>0</v>
      </c>
      <c r="L9" s="12">
        <f>SUMIF(gol_C,B9,tunc_esel)</f>
        <v>0</v>
      </c>
      <c r="M9" s="12">
        <f>SUMIF(gol_C,B9,tunc_um)</f>
        <v>0</v>
      </c>
      <c r="N9" s="12">
        <f>SUMIF(gol_C,B9,tunc_fu)</f>
        <v>0</v>
      </c>
      <c r="O9" s="12">
        <v>0</v>
      </c>
      <c r="P9" s="12">
        <f>SUMIF(gol_C,B9,tunc_ber)</f>
        <v>0</v>
      </c>
      <c r="Q9" s="12">
        <f>SUMIF(gol_C,B9,tunc_paj)</f>
        <v>0</v>
      </c>
      <c r="R9" s="12">
        <f>SUMIF(gol_C,B9,tunc_bulat)</f>
        <v>0</v>
      </c>
      <c r="S9" s="18">
        <f t="shared" si="3"/>
        <v>0</v>
      </c>
      <c r="T9" s="20">
        <f t="shared" si="4"/>
        <v>0</v>
      </c>
      <c r="U9" s="12">
        <f t="shared" si="9"/>
        <v>0</v>
      </c>
      <c r="V9" s="12">
        <v>0</v>
      </c>
      <c r="W9" s="12">
        <f>SUMIF(gol_C,B9,iwpC1)</f>
        <v>0</v>
      </c>
      <c r="X9" s="12">
        <f>SUMIF(gol_C,B9,iwpc8)</f>
        <v>0</v>
      </c>
      <c r="Y9" s="13">
        <f t="shared" si="6"/>
        <v>0</v>
      </c>
      <c r="Z9" s="14">
        <f t="shared" si="10"/>
        <v>0</v>
      </c>
    </row>
    <row r="10" spans="1:29" s="4" customFormat="1" ht="17.5" customHeight="1" x14ac:dyDescent="0.25">
      <c r="A10" s="480"/>
      <c r="B10" s="1" t="s">
        <v>24</v>
      </c>
      <c r="C10" s="10">
        <f>SUM(C11:C14)</f>
        <v>0</v>
      </c>
      <c r="D10" s="10">
        <f>SUM(D11:D14)</f>
        <v>0</v>
      </c>
      <c r="E10" s="10">
        <f>SUM(E11:E14)</f>
        <v>0</v>
      </c>
      <c r="F10" s="10">
        <f>SUM(F11:F14)</f>
        <v>0</v>
      </c>
      <c r="G10" s="10">
        <f t="shared" ref="G10:I10" si="11">SUM(G11:G14)</f>
        <v>0</v>
      </c>
      <c r="H10" s="10">
        <f t="shared" si="11"/>
        <v>0</v>
      </c>
      <c r="I10" s="10">
        <f t="shared" si="11"/>
        <v>0</v>
      </c>
      <c r="J10" s="9">
        <f>G10+H10+I10</f>
        <v>0</v>
      </c>
      <c r="K10" s="9">
        <f>SUM(K11:K14)</f>
        <v>0</v>
      </c>
      <c r="L10" s="10">
        <f t="shared" ref="L10:R10" si="12">SUM(L11:L14)</f>
        <v>0</v>
      </c>
      <c r="M10" s="10">
        <f t="shared" si="12"/>
        <v>0</v>
      </c>
      <c r="N10" s="10">
        <f t="shared" si="12"/>
        <v>0</v>
      </c>
      <c r="O10" s="10">
        <f t="shared" si="12"/>
        <v>0</v>
      </c>
      <c r="P10" s="10">
        <f t="shared" si="12"/>
        <v>0</v>
      </c>
      <c r="Q10" s="10">
        <f t="shared" si="12"/>
        <v>0</v>
      </c>
      <c r="R10" s="10">
        <f t="shared" si="12"/>
        <v>0</v>
      </c>
      <c r="S10" s="10">
        <f t="shared" si="3"/>
        <v>0</v>
      </c>
      <c r="T10" s="21">
        <f t="shared" si="4"/>
        <v>0</v>
      </c>
      <c r="U10" s="10">
        <f>SUM(U11:U14)</f>
        <v>0</v>
      </c>
      <c r="V10" s="10">
        <f>SUM(V11:V14)</f>
        <v>0</v>
      </c>
      <c r="W10" s="10">
        <f t="shared" ref="W10:X10" si="13">SUM(W11:W14)</f>
        <v>0</v>
      </c>
      <c r="X10" s="10">
        <f t="shared" si="13"/>
        <v>0</v>
      </c>
      <c r="Y10" s="10">
        <f t="shared" si="6"/>
        <v>0</v>
      </c>
      <c r="Z10" s="9">
        <f>T10-Y10</f>
        <v>0</v>
      </c>
      <c r="AB10" s="31"/>
      <c r="AC10" s="30"/>
    </row>
    <row r="11" spans="1:29" ht="17.5" customHeight="1" x14ac:dyDescent="0.25">
      <c r="A11" s="480"/>
      <c r="B11" s="11" t="s">
        <v>25</v>
      </c>
      <c r="C11" s="12">
        <f>SUMIF(gol_C,B11,peg_c)</f>
        <v>0</v>
      </c>
      <c r="D11" s="12">
        <f>SUMIF(gol_C,B11,istri_C)</f>
        <v>0</v>
      </c>
      <c r="E11" s="12">
        <f>SUMIF(gol_C,B11,anak_C)</f>
        <v>0</v>
      </c>
      <c r="F11" s="5">
        <f>SUM(C11:E11)</f>
        <v>0</v>
      </c>
      <c r="G11" s="12">
        <f>SUMIF(gol_C,B11,gapok_c)</f>
        <v>0</v>
      </c>
      <c r="H11" s="12">
        <f>SUMIF(gol_C,B11,tunis_C)</f>
        <v>0</v>
      </c>
      <c r="I11" s="12">
        <f>SUMIF(gol_C,B11,tuna_c)</f>
        <v>0</v>
      </c>
      <c r="J11" s="17">
        <f>G11+H11+I11</f>
        <v>0</v>
      </c>
      <c r="K11" s="17">
        <f>SUM(H11:I11)</f>
        <v>0</v>
      </c>
      <c r="L11" s="12">
        <f>SUMIF(gol_C,B11,tunc_esel)</f>
        <v>0</v>
      </c>
      <c r="M11" s="12">
        <f>SUMIF(gol_C,B11,tunc_um)</f>
        <v>0</v>
      </c>
      <c r="N11" s="12">
        <f>SUMIF(gol_C,B11,tunc_fu)</f>
        <v>0</v>
      </c>
      <c r="O11" s="12">
        <v>0</v>
      </c>
      <c r="P11" s="12">
        <f>SUMIF(gol_C,B11,tunc_ber)</f>
        <v>0</v>
      </c>
      <c r="Q11" s="12">
        <f>SUMIF(gol_C,B11,tunc_paj)</f>
        <v>0</v>
      </c>
      <c r="R11" s="12">
        <f>SUMIF(gol_C,B11,tunc_bulat)</f>
        <v>0</v>
      </c>
      <c r="S11" s="18">
        <f t="shared" si="3"/>
        <v>0</v>
      </c>
      <c r="T11" s="20">
        <f t="shared" si="4"/>
        <v>0</v>
      </c>
      <c r="U11" s="12">
        <f t="shared" ref="U11:U14" si="14">Q11</f>
        <v>0</v>
      </c>
      <c r="V11" s="12">
        <v>0</v>
      </c>
      <c r="W11" s="12">
        <f>SUMIF(gol_C,B11,iwpC1)</f>
        <v>0</v>
      </c>
      <c r="X11" s="12">
        <f>SUMIF(gol_C,B11,iwpc8)</f>
        <v>0</v>
      </c>
      <c r="Y11" s="13">
        <f t="shared" si="6"/>
        <v>0</v>
      </c>
      <c r="Z11" s="14">
        <f t="shared" ref="Z11:Z14" si="15">Y11+T11</f>
        <v>0</v>
      </c>
      <c r="AB11" s="32"/>
    </row>
    <row r="12" spans="1:29" ht="17.5" customHeight="1" x14ac:dyDescent="0.25">
      <c r="A12" s="480"/>
      <c r="B12" s="11" t="s">
        <v>26</v>
      </c>
      <c r="C12" s="12">
        <f>SUMIF(gol_C,B12,peg_c)</f>
        <v>0</v>
      </c>
      <c r="D12" s="12">
        <f>SUMIF(gol_C,B12,istri_C)</f>
        <v>0</v>
      </c>
      <c r="E12" s="12">
        <f>SUMIF(gol_C,B12,anak_C)</f>
        <v>0</v>
      </c>
      <c r="F12" s="5">
        <f t="shared" si="7"/>
        <v>0</v>
      </c>
      <c r="G12" s="12">
        <f>SUMIF(gol_C,B12,gapok_c)</f>
        <v>0</v>
      </c>
      <c r="H12" s="12">
        <f>SUMIF(gol_C,B12,tunis_C)</f>
        <v>0</v>
      </c>
      <c r="I12" s="12">
        <f>SUMIF(gol_C,B12,tuna_c)</f>
        <v>0</v>
      </c>
      <c r="J12" s="17">
        <f t="shared" ref="J12:J14" si="16">G12+H12+I12</f>
        <v>0</v>
      </c>
      <c r="K12" s="17">
        <f>SUM(H12:I12)</f>
        <v>0</v>
      </c>
      <c r="L12" s="12">
        <f>SUMIF(gol_C,B12,tunc_esel)</f>
        <v>0</v>
      </c>
      <c r="M12" s="12">
        <f>SUMIF(gol_C,B12,tunc_um)</f>
        <v>0</v>
      </c>
      <c r="N12" s="12">
        <f>SUMIF(gol_C,B12,tunc_fu)</f>
        <v>0</v>
      </c>
      <c r="O12" s="12">
        <v>0</v>
      </c>
      <c r="P12" s="12">
        <f>SUMIF(gol_C,B12,tunc_ber)</f>
        <v>0</v>
      </c>
      <c r="Q12" s="12">
        <f>SUMIF(gol_C,B12,tunc_paj)</f>
        <v>0</v>
      </c>
      <c r="R12" s="12">
        <f>SUMIF(gol_C,B12,tunc_bulat)</f>
        <v>0</v>
      </c>
      <c r="S12" s="18">
        <f t="shared" si="3"/>
        <v>0</v>
      </c>
      <c r="T12" s="20">
        <f t="shared" si="4"/>
        <v>0</v>
      </c>
      <c r="U12" s="12">
        <f t="shared" si="14"/>
        <v>0</v>
      </c>
      <c r="V12" s="12">
        <v>0</v>
      </c>
      <c r="W12" s="12">
        <f>SUMIF(gol_C,B12,iwpC1)</f>
        <v>0</v>
      </c>
      <c r="X12" s="12">
        <f>SUMIF(gol_C,B12,iwpc8)</f>
        <v>0</v>
      </c>
      <c r="Y12" s="13">
        <f t="shared" si="6"/>
        <v>0</v>
      </c>
      <c r="Z12" s="14">
        <f t="shared" si="15"/>
        <v>0</v>
      </c>
      <c r="AB12" s="32"/>
    </row>
    <row r="13" spans="1:29" ht="17.5" customHeight="1" x14ac:dyDescent="0.25">
      <c r="A13" s="480"/>
      <c r="B13" s="11" t="s">
        <v>27</v>
      </c>
      <c r="C13" s="12">
        <f>SUMIF(gol_C,B13,peg_c)</f>
        <v>0</v>
      </c>
      <c r="D13" s="12">
        <f>SUMIF(gol_C,B13,istri_C)</f>
        <v>0</v>
      </c>
      <c r="E13" s="12">
        <f>SUMIF(gol_C,B13,anak_C)</f>
        <v>0</v>
      </c>
      <c r="F13" s="5">
        <f t="shared" si="7"/>
        <v>0</v>
      </c>
      <c r="G13" s="12">
        <f>SUMIF(gol_C,B13,gapok_c)</f>
        <v>0</v>
      </c>
      <c r="H13" s="12">
        <f>SUMIF(gol_C,B13,tunis_C)</f>
        <v>0</v>
      </c>
      <c r="I13" s="12">
        <f>SUMIF(gol_C,B13,tuna_c)</f>
        <v>0</v>
      </c>
      <c r="J13" s="17">
        <f t="shared" si="16"/>
        <v>0</v>
      </c>
      <c r="K13" s="17">
        <f>SUM(H13:I13)</f>
        <v>0</v>
      </c>
      <c r="L13" s="12">
        <f>SUMIF(gol_C,B13,tunc_esel)</f>
        <v>0</v>
      </c>
      <c r="M13" s="12">
        <f>SUMIF(gol_C,B13,tunc_um)</f>
        <v>0</v>
      </c>
      <c r="N13" s="12">
        <f>SUMIF(gol_C,B13,tunc_fu)</f>
        <v>0</v>
      </c>
      <c r="O13" s="12">
        <v>0</v>
      </c>
      <c r="P13" s="12">
        <f>SUMIF(gol_C,B13,tunc_ber)</f>
        <v>0</v>
      </c>
      <c r="Q13" s="12">
        <f>SUMIF(gol_C,B13,tunc_paj)</f>
        <v>0</v>
      </c>
      <c r="R13" s="12">
        <f>SUMIF(gol_C,B13,tunc_bulat)</f>
        <v>0</v>
      </c>
      <c r="S13" s="18">
        <f t="shared" si="3"/>
        <v>0</v>
      </c>
      <c r="T13" s="20">
        <f t="shared" si="4"/>
        <v>0</v>
      </c>
      <c r="U13" s="12">
        <f t="shared" si="14"/>
        <v>0</v>
      </c>
      <c r="V13" s="12">
        <v>0</v>
      </c>
      <c r="W13" s="12">
        <f>SUMIF(gol_C,B13,iwpC1)</f>
        <v>0</v>
      </c>
      <c r="X13" s="12">
        <f>SUMIF(gol_C,B13,iwpc8)</f>
        <v>0</v>
      </c>
      <c r="Y13" s="13">
        <f>SUM(U13:X13)</f>
        <v>0</v>
      </c>
      <c r="Z13" s="14">
        <f t="shared" si="15"/>
        <v>0</v>
      </c>
    </row>
    <row r="14" spans="1:29" ht="17.5" customHeight="1" x14ac:dyDescent="0.25">
      <c r="A14" s="480"/>
      <c r="B14" s="11" t="s">
        <v>28</v>
      </c>
      <c r="C14" s="12">
        <f>SUMIF(gol_C,B14,peg_c)</f>
        <v>0</v>
      </c>
      <c r="D14" s="12">
        <f>SUMIF(gol_C,B14,istri_C)</f>
        <v>0</v>
      </c>
      <c r="E14" s="12">
        <f>SUMIF(gol_C,B14,anak_C)</f>
        <v>0</v>
      </c>
      <c r="F14" s="5">
        <f t="shared" si="7"/>
        <v>0</v>
      </c>
      <c r="G14" s="12">
        <f>SUMIF(gol_C,B14,gapok_c)</f>
        <v>0</v>
      </c>
      <c r="H14" s="12">
        <f>SUMIF(gol_C,B14,tunis_C)</f>
        <v>0</v>
      </c>
      <c r="I14" s="12">
        <f>SUMIF(gol_C,B14,tuna_c)</f>
        <v>0</v>
      </c>
      <c r="J14" s="17">
        <f t="shared" si="16"/>
        <v>0</v>
      </c>
      <c r="K14" s="17">
        <f>SUM(H14:I14)</f>
        <v>0</v>
      </c>
      <c r="L14" s="12">
        <f>SUMIF(gol_C,B14,tunc_esel)</f>
        <v>0</v>
      </c>
      <c r="M14" s="12">
        <f>SUMIF(gol_C,B14,tunc_um)</f>
        <v>0</v>
      </c>
      <c r="N14" s="12">
        <f>SUMIF(gol_C,B14,tunc_fu)</f>
        <v>0</v>
      </c>
      <c r="O14" s="12">
        <v>0</v>
      </c>
      <c r="P14" s="12">
        <f>SUMIF(gol_C,B14,tunc_ber)</f>
        <v>0</v>
      </c>
      <c r="Q14" s="12">
        <f>SUMIF(gol_C,B14,tunc_paj)</f>
        <v>0</v>
      </c>
      <c r="R14" s="12">
        <f>SUMIF(gol_C,B14,tunc_bulat)</f>
        <v>0</v>
      </c>
      <c r="S14" s="18">
        <f t="shared" si="3"/>
        <v>0</v>
      </c>
      <c r="T14" s="20">
        <f t="shared" si="4"/>
        <v>0</v>
      </c>
      <c r="U14" s="12">
        <f t="shared" si="14"/>
        <v>0</v>
      </c>
      <c r="V14" s="12">
        <v>0</v>
      </c>
      <c r="W14" s="12">
        <f>SUMIF(gol_C,B14,iwpC1)</f>
        <v>0</v>
      </c>
      <c r="X14" s="12">
        <f>SUMIF(gol_C,B14,iwpc8)</f>
        <v>0</v>
      </c>
      <c r="Y14" s="13">
        <f>SUM(U14:X14)</f>
        <v>0</v>
      </c>
      <c r="Z14" s="14">
        <f t="shared" si="15"/>
        <v>0</v>
      </c>
      <c r="AB14" s="33"/>
    </row>
    <row r="15" spans="1:29" s="4" customFormat="1" ht="17.5" customHeight="1" x14ac:dyDescent="0.25">
      <c r="A15" s="480"/>
      <c r="B15" s="1" t="s">
        <v>14</v>
      </c>
      <c r="C15" s="10">
        <f>SUM(C16:C19)</f>
        <v>2</v>
      </c>
      <c r="D15" s="10">
        <f>SUM(D16:D19)</f>
        <v>2</v>
      </c>
      <c r="E15" s="10">
        <f>SUM(E16:E19)</f>
        <v>3</v>
      </c>
      <c r="F15" s="10">
        <f>SUM(F16:F19)</f>
        <v>7</v>
      </c>
      <c r="G15" s="10">
        <f t="shared" ref="G15:I15" si="17">SUM(G16:G19)</f>
        <v>5717600</v>
      </c>
      <c r="H15" s="10">
        <f t="shared" si="17"/>
        <v>571760</v>
      </c>
      <c r="I15" s="10">
        <f t="shared" si="17"/>
        <v>171528</v>
      </c>
      <c r="J15" s="9">
        <f>G15+H15+I15</f>
        <v>6460888</v>
      </c>
      <c r="K15" s="9">
        <f>SUM(K16:K19)</f>
        <v>743288</v>
      </c>
      <c r="L15" s="10">
        <f t="shared" ref="L15:R15" si="18">SUM(L16:L19)</f>
        <v>0</v>
      </c>
      <c r="M15" s="10">
        <f t="shared" si="18"/>
        <v>0</v>
      </c>
      <c r="N15" s="10">
        <f t="shared" si="18"/>
        <v>710000</v>
      </c>
      <c r="O15" s="10">
        <f t="shared" si="18"/>
        <v>0</v>
      </c>
      <c r="P15" s="10">
        <f t="shared" si="18"/>
        <v>506940</v>
      </c>
      <c r="Q15" s="10">
        <f t="shared" si="18"/>
        <v>0</v>
      </c>
      <c r="R15" s="10">
        <f t="shared" si="18"/>
        <v>81</v>
      </c>
      <c r="S15" s="10">
        <f t="shared" si="3"/>
        <v>1217021</v>
      </c>
      <c r="T15" s="21">
        <f t="shared" si="4"/>
        <v>7677909</v>
      </c>
      <c r="U15" s="10">
        <f>SUM(U16:U19)</f>
        <v>0</v>
      </c>
      <c r="V15" s="10">
        <f>SUM(V16:V19)</f>
        <v>0</v>
      </c>
      <c r="W15" s="10">
        <f t="shared" ref="W15:X15" si="19">SUM(W16:W19)</f>
        <v>71709</v>
      </c>
      <c r="X15" s="10">
        <f t="shared" si="19"/>
        <v>0</v>
      </c>
      <c r="Y15" s="10">
        <f t="shared" si="6"/>
        <v>71709</v>
      </c>
      <c r="Z15" s="9">
        <f>T15-Y15</f>
        <v>7606200</v>
      </c>
      <c r="AB15" s="31"/>
      <c r="AC15" s="39"/>
    </row>
    <row r="16" spans="1:29" ht="17.5" customHeight="1" x14ac:dyDescent="0.25">
      <c r="A16" s="480"/>
      <c r="B16" s="11" t="s">
        <v>33</v>
      </c>
      <c r="C16" s="12">
        <f>SUMIF(gol_C,B16,peg_c)</f>
        <v>0</v>
      </c>
      <c r="D16" s="12">
        <f>SUMIF(gol_C,B16,istri_C)</f>
        <v>0</v>
      </c>
      <c r="E16" s="12">
        <f>SUMIF(gol_C,B16,anak_C)</f>
        <v>0</v>
      </c>
      <c r="F16" s="5">
        <f>SUM(C16:E16)</f>
        <v>0</v>
      </c>
      <c r="G16" s="12">
        <f>SUMIF(gol_C,B16,gapok_c)</f>
        <v>0</v>
      </c>
      <c r="H16" s="12">
        <f>SUMIF(gol_C,B16,tunis_C)</f>
        <v>0</v>
      </c>
      <c r="I16" s="12">
        <f>SUMIF(gol_C,B16,tuna_c)</f>
        <v>0</v>
      </c>
      <c r="J16" s="17">
        <f>G16+H16+I16</f>
        <v>0</v>
      </c>
      <c r="K16" s="17">
        <f>SUM(H16:I16)</f>
        <v>0</v>
      </c>
      <c r="L16" s="12">
        <f>SUMIF(gol_C,B16,tunc_esel)</f>
        <v>0</v>
      </c>
      <c r="M16" s="12">
        <f>SUMIF(gol_C,B16,tunc_um)</f>
        <v>0</v>
      </c>
      <c r="N16" s="12">
        <f>SUMIF(gol_C,B16,tunc_fu)</f>
        <v>0</v>
      </c>
      <c r="O16" s="12">
        <v>0</v>
      </c>
      <c r="P16" s="12">
        <f>SUMIF(gol_C,B16,tunc_ber)</f>
        <v>0</v>
      </c>
      <c r="Q16" s="12">
        <f>SUMIF(gol_C,B16,tunc_paj)</f>
        <v>0</v>
      </c>
      <c r="R16" s="12">
        <f>SUMIF(gol_C,B16,tunc_bulat)</f>
        <v>0</v>
      </c>
      <c r="S16" s="18">
        <f t="shared" si="3"/>
        <v>0</v>
      </c>
      <c r="T16" s="20">
        <f t="shared" si="4"/>
        <v>0</v>
      </c>
      <c r="U16" s="12">
        <f t="shared" ref="U16:U19" si="20">Q16</f>
        <v>0</v>
      </c>
      <c r="V16" s="12">
        <v>0</v>
      </c>
      <c r="W16" s="12">
        <f>SUMIF(gol_C,B16,iwpC1)</f>
        <v>0</v>
      </c>
      <c r="X16" s="12">
        <f>SUMIF(gol_C,B16,iwpc8)</f>
        <v>0</v>
      </c>
      <c r="Y16" s="13">
        <f t="shared" si="6"/>
        <v>0</v>
      </c>
      <c r="Z16" s="14">
        <f t="shared" ref="Z16:Z19" si="21">Y16+T16</f>
        <v>0</v>
      </c>
    </row>
    <row r="17" spans="1:29" ht="17.5" customHeight="1" x14ac:dyDescent="0.25">
      <c r="A17" s="480"/>
      <c r="B17" s="11" t="s">
        <v>17</v>
      </c>
      <c r="C17" s="12">
        <f>SUMIF(gol_C,B17,peg_c)</f>
        <v>0</v>
      </c>
      <c r="D17" s="12">
        <f>SUMIF(gol_C,B17,istri_C)</f>
        <v>0</v>
      </c>
      <c r="E17" s="12">
        <f>SUMIF(gol_C,B17,anak_C)</f>
        <v>0</v>
      </c>
      <c r="F17" s="5">
        <f t="shared" ref="F17:F19" si="22">SUM(C17:E17)</f>
        <v>0</v>
      </c>
      <c r="G17" s="12">
        <f>SUMIF(gol_C,B17,gapok_c)</f>
        <v>0</v>
      </c>
      <c r="H17" s="12">
        <f>SUMIF(gol_C,B17,tunis_C)</f>
        <v>0</v>
      </c>
      <c r="I17" s="12">
        <f>SUMIF(gol_C,B17,tuna_c)</f>
        <v>0</v>
      </c>
      <c r="J17" s="17">
        <f t="shared" ref="J17:J19" si="23">G17+H17+I17</f>
        <v>0</v>
      </c>
      <c r="K17" s="17">
        <f>SUM(H17:I17)</f>
        <v>0</v>
      </c>
      <c r="L17" s="12">
        <f>SUMIF(gol_C,B17,tunc_esel)</f>
        <v>0</v>
      </c>
      <c r="M17" s="12">
        <f>SUMIF(gol_C,B17,tunc_um)</f>
        <v>0</v>
      </c>
      <c r="N17" s="12">
        <f>SUMIF(gol_C,B17,tunc_fu)</f>
        <v>0</v>
      </c>
      <c r="O17" s="12">
        <v>0</v>
      </c>
      <c r="P17" s="12">
        <f>SUMIF(gol_C,B17,tunc_ber)</f>
        <v>0</v>
      </c>
      <c r="Q17" s="12">
        <f>SUMIF(gol_C,B17,tunc_paj)</f>
        <v>0</v>
      </c>
      <c r="R17" s="12">
        <f>SUMIF(gol_C,B17,tunc_bulat)</f>
        <v>0</v>
      </c>
      <c r="S17" s="18">
        <f t="shared" si="3"/>
        <v>0</v>
      </c>
      <c r="T17" s="20">
        <f t="shared" si="4"/>
        <v>0</v>
      </c>
      <c r="U17" s="12">
        <f t="shared" si="20"/>
        <v>0</v>
      </c>
      <c r="V17" s="12">
        <v>0</v>
      </c>
      <c r="W17" s="12">
        <f>SUMIF(gol_C,B17,iwpC1)</f>
        <v>0</v>
      </c>
      <c r="X17" s="12">
        <f>SUMIF(gol_C,B17,iwpc8)</f>
        <v>0</v>
      </c>
      <c r="Y17" s="13">
        <f t="shared" si="6"/>
        <v>0</v>
      </c>
      <c r="Z17" s="14">
        <f t="shared" si="21"/>
        <v>0</v>
      </c>
    </row>
    <row r="18" spans="1:29" ht="17.5" customHeight="1" x14ac:dyDescent="0.25">
      <c r="A18" s="480"/>
      <c r="B18" s="11" t="s">
        <v>18</v>
      </c>
      <c r="C18" s="12">
        <f>SUMIF(gol_C,B18,peg_c)</f>
        <v>2</v>
      </c>
      <c r="D18" s="12">
        <f>SUMIF(gol_C,B18,istri_C)</f>
        <v>2</v>
      </c>
      <c r="E18" s="12">
        <f>SUMIF(gol_C,B18,anak_C)</f>
        <v>3</v>
      </c>
      <c r="F18" s="5">
        <f t="shared" si="22"/>
        <v>7</v>
      </c>
      <c r="G18" s="12">
        <f>SUMIF(gol_C,B18,gapok_c)</f>
        <v>5717600</v>
      </c>
      <c r="H18" s="12">
        <f>SUMIF(gol_C,B18,tunis_C)</f>
        <v>571760</v>
      </c>
      <c r="I18" s="12">
        <f>SUMIF(gol_C,B18,tuna_c)</f>
        <v>171528</v>
      </c>
      <c r="J18" s="17">
        <f t="shared" si="23"/>
        <v>6460888</v>
      </c>
      <c r="K18" s="17">
        <f>SUM(H18:I18)</f>
        <v>743288</v>
      </c>
      <c r="L18" s="12">
        <f>SUMIF(gol_C,B18,tunc_esel)</f>
        <v>0</v>
      </c>
      <c r="M18" s="12">
        <f>SUMIF(gol_C,B18,tunc_um)</f>
        <v>0</v>
      </c>
      <c r="N18" s="12">
        <f>SUMIF(gol_C,B18,tunc_fu)</f>
        <v>710000</v>
      </c>
      <c r="O18" s="12">
        <v>0</v>
      </c>
      <c r="P18" s="12">
        <f>SUMIF(gol_C,B18,tunc_ber)</f>
        <v>506940</v>
      </c>
      <c r="Q18" s="12">
        <f>SUMIF(gol_C,B18,tunc_paj)</f>
        <v>0</v>
      </c>
      <c r="R18" s="12">
        <f>SUMIF(gol_C,B18,tunc_bulat)</f>
        <v>81</v>
      </c>
      <c r="S18" s="18">
        <f t="shared" si="3"/>
        <v>1217021</v>
      </c>
      <c r="T18" s="20">
        <f t="shared" si="4"/>
        <v>7677909</v>
      </c>
      <c r="U18" s="12">
        <f t="shared" si="20"/>
        <v>0</v>
      </c>
      <c r="V18" s="12">
        <v>0</v>
      </c>
      <c r="W18" s="12">
        <f>SUMIF(gol_C,B18,iwpC1)</f>
        <v>71709</v>
      </c>
      <c r="X18" s="12">
        <f>SUMIF(gol_C,B18,iwpc8)</f>
        <v>0</v>
      </c>
      <c r="Y18" s="13">
        <f t="shared" si="6"/>
        <v>71709</v>
      </c>
      <c r="Z18" s="14">
        <f t="shared" si="21"/>
        <v>7749618</v>
      </c>
    </row>
    <row r="19" spans="1:29" ht="17.5" customHeight="1" x14ac:dyDescent="0.25">
      <c r="A19" s="480"/>
      <c r="B19" s="11" t="s">
        <v>19</v>
      </c>
      <c r="C19" s="12">
        <f>SUMIF(gol_C,B19,peg_c)</f>
        <v>0</v>
      </c>
      <c r="D19" s="12">
        <f>SUMIF(gol_C,B19,istri_C)</f>
        <v>0</v>
      </c>
      <c r="E19" s="12">
        <f>SUMIF(gol_C,B19,anak_C)</f>
        <v>0</v>
      </c>
      <c r="F19" s="5">
        <f t="shared" si="22"/>
        <v>0</v>
      </c>
      <c r="G19" s="12">
        <f>SUMIF(gol_C,B19,gapok_c)</f>
        <v>0</v>
      </c>
      <c r="H19" s="12">
        <f>SUMIF(gol_C,B19,tunis_C)</f>
        <v>0</v>
      </c>
      <c r="I19" s="12">
        <f>SUMIF(gol_C,B19,tuna_c)</f>
        <v>0</v>
      </c>
      <c r="J19" s="17">
        <f t="shared" si="23"/>
        <v>0</v>
      </c>
      <c r="K19" s="17">
        <f>SUM(H19:I19)</f>
        <v>0</v>
      </c>
      <c r="L19" s="12">
        <f>SUMIF(gol_C,B19,tunc_esel)</f>
        <v>0</v>
      </c>
      <c r="M19" s="12">
        <f>SUMIF(gol_C,B19,tunc_um)</f>
        <v>0</v>
      </c>
      <c r="N19" s="12">
        <f>SUMIF(gol_C,B19,tunc_fu)</f>
        <v>0</v>
      </c>
      <c r="O19" s="12">
        <v>0</v>
      </c>
      <c r="P19" s="12">
        <f>SUMIF(gol_C,B19,tunc_ber)</f>
        <v>0</v>
      </c>
      <c r="Q19" s="12">
        <f>SUMIF(gol_C,B19,tunc_paj)</f>
        <v>0</v>
      </c>
      <c r="R19" s="12">
        <f>SUMIF(gol_C,B19,tunc_bulat)</f>
        <v>0</v>
      </c>
      <c r="S19" s="18">
        <f t="shared" si="3"/>
        <v>0</v>
      </c>
      <c r="T19" s="20">
        <f t="shared" si="4"/>
        <v>0</v>
      </c>
      <c r="U19" s="12">
        <f t="shared" si="20"/>
        <v>0</v>
      </c>
      <c r="V19" s="12">
        <v>0</v>
      </c>
      <c r="W19" s="12">
        <f>SUMIF(gol_C,B19,iwpC1)</f>
        <v>0</v>
      </c>
      <c r="X19" s="12">
        <f>SUMIF(gol_C,B19,iwpc8)</f>
        <v>0</v>
      </c>
      <c r="Y19" s="13">
        <f t="shared" si="6"/>
        <v>0</v>
      </c>
      <c r="Z19" s="14">
        <f t="shared" si="21"/>
        <v>0</v>
      </c>
    </row>
    <row r="20" spans="1:29" s="4" customFormat="1" ht="18" customHeight="1" x14ac:dyDescent="0.25">
      <c r="A20" s="480"/>
      <c r="B20" s="1" t="s">
        <v>13</v>
      </c>
      <c r="C20" s="10">
        <f t="shared" ref="C20:I20" si="24">SUM(C21:C24)</f>
        <v>0</v>
      </c>
      <c r="D20" s="10">
        <f t="shared" si="24"/>
        <v>0</v>
      </c>
      <c r="E20" s="10">
        <f t="shared" si="24"/>
        <v>0</v>
      </c>
      <c r="F20" s="10">
        <f t="shared" si="24"/>
        <v>0</v>
      </c>
      <c r="G20" s="10">
        <f t="shared" si="24"/>
        <v>0</v>
      </c>
      <c r="H20" s="10">
        <f t="shared" si="24"/>
        <v>0</v>
      </c>
      <c r="I20" s="10">
        <f t="shared" si="24"/>
        <v>0</v>
      </c>
      <c r="J20" s="9">
        <f>G20+H20+I20</f>
        <v>0</v>
      </c>
      <c r="K20" s="9">
        <f>SUM(K21:K24)</f>
        <v>0</v>
      </c>
      <c r="L20" s="10">
        <f t="shared" ref="L20:R20" si="25">SUM(L21:L24)</f>
        <v>0</v>
      </c>
      <c r="M20" s="10">
        <f t="shared" si="25"/>
        <v>0</v>
      </c>
      <c r="N20" s="10">
        <f t="shared" si="25"/>
        <v>0</v>
      </c>
      <c r="O20" s="10">
        <f t="shared" si="25"/>
        <v>0</v>
      </c>
      <c r="P20" s="10">
        <f t="shared" si="25"/>
        <v>0</v>
      </c>
      <c r="Q20" s="10">
        <f t="shared" si="25"/>
        <v>0</v>
      </c>
      <c r="R20" s="10">
        <f t="shared" si="25"/>
        <v>0</v>
      </c>
      <c r="S20" s="10">
        <f t="shared" si="3"/>
        <v>0</v>
      </c>
      <c r="T20" s="21">
        <f t="shared" si="4"/>
        <v>0</v>
      </c>
      <c r="U20" s="10">
        <f>SUM(U21:U24)</f>
        <v>0</v>
      </c>
      <c r="V20" s="10">
        <f>SUM(V21:V24)</f>
        <v>0</v>
      </c>
      <c r="W20" s="10">
        <f>SUM(W21:W24)</f>
        <v>0</v>
      </c>
      <c r="X20" s="10">
        <f>SUM(X21:X24)</f>
        <v>0</v>
      </c>
      <c r="Y20" s="10">
        <f t="shared" si="6"/>
        <v>0</v>
      </c>
      <c r="Z20" s="9">
        <f>T20-Y20</f>
        <v>0</v>
      </c>
    </row>
    <row r="21" spans="1:29" ht="18" customHeight="1" x14ac:dyDescent="0.25">
      <c r="A21" s="480"/>
      <c r="B21" s="15" t="s">
        <v>20</v>
      </c>
      <c r="C21" s="12">
        <f>IFERROR(VLOOKUP(B21,data,2,FALSE), 0)</f>
        <v>0</v>
      </c>
      <c r="D21" s="12" t="str">
        <f>IFERROR(VLOOKUP(B21,dada,3,FALSE),"0")</f>
        <v>0</v>
      </c>
      <c r="E21" s="12" t="str">
        <f>IFERROR(VLOOKUP(B21,dada,4,FALSE),"0")</f>
        <v>0</v>
      </c>
      <c r="F21" s="5">
        <f t="shared" si="7"/>
        <v>0</v>
      </c>
      <c r="G21" s="12">
        <f>SUMIF(gol_C,B21,gapok_c)</f>
        <v>0</v>
      </c>
      <c r="H21" s="12">
        <f>SUMIF(gol_C,B21,tunis_C)</f>
        <v>0</v>
      </c>
      <c r="I21" s="12">
        <f>SUMIF(gol_C,B21,tuna_c)</f>
        <v>0</v>
      </c>
      <c r="J21" s="17">
        <f>G21+H21+I21</f>
        <v>0</v>
      </c>
      <c r="K21" s="17">
        <f>SUM(H21:I21)</f>
        <v>0</v>
      </c>
      <c r="L21" s="12">
        <f>SUMIF(gol_C,B21,tunc_esel)</f>
        <v>0</v>
      </c>
      <c r="M21" s="12">
        <f>SUMIF(gol_C,B21,tunc_um)</f>
        <v>0</v>
      </c>
      <c r="N21" s="12">
        <f>SUMIF(gol_C,B21,tunc_fu)</f>
        <v>0</v>
      </c>
      <c r="O21" s="12">
        <v>0</v>
      </c>
      <c r="P21" s="12">
        <f>SUMIF(gol_C,B21,tunc_ber)</f>
        <v>0</v>
      </c>
      <c r="Q21" s="12">
        <f>SUMIF(gol_C,B21,tunc_paj)</f>
        <v>0</v>
      </c>
      <c r="R21" s="12">
        <f>SUMIF(gol_C,B21,tunc_bulat)</f>
        <v>0</v>
      </c>
      <c r="S21" s="18">
        <f t="shared" si="3"/>
        <v>0</v>
      </c>
      <c r="T21" s="20">
        <f t="shared" si="4"/>
        <v>0</v>
      </c>
      <c r="U21" s="12">
        <f t="shared" ref="U21:U24" si="26">Q21</f>
        <v>0</v>
      </c>
      <c r="V21" s="12">
        <v>0</v>
      </c>
      <c r="W21" s="12">
        <f>SUMIF(gol_C,B21,iwpC1)</f>
        <v>0</v>
      </c>
      <c r="X21" s="12">
        <f>SUMIF(gol_C,B21,iwpc8)</f>
        <v>0</v>
      </c>
      <c r="Y21" s="13">
        <f t="shared" si="6"/>
        <v>0</v>
      </c>
      <c r="Z21" s="14">
        <f t="shared" ref="Z21:Z24" si="27">Y21+T21</f>
        <v>0</v>
      </c>
    </row>
    <row r="22" spans="1:29" ht="18" customHeight="1" x14ac:dyDescent="0.25">
      <c r="A22" s="480"/>
      <c r="B22" s="15" t="s">
        <v>21</v>
      </c>
      <c r="C22" s="12">
        <f>IFERROR(VLOOKUP(B22,data,2,FALSE), 0)</f>
        <v>0</v>
      </c>
      <c r="D22" s="12" t="str">
        <f>IFERROR(VLOOKUP(B22,dada,3,FALSE),"0")</f>
        <v>0</v>
      </c>
      <c r="E22" s="12" t="str">
        <f>IFERROR(VLOOKUP(B22,dada,4,FALSE),"0")</f>
        <v>0</v>
      </c>
      <c r="F22" s="5">
        <f t="shared" si="7"/>
        <v>0</v>
      </c>
      <c r="G22" s="12">
        <f>SUMIF(gol_C,B22,gapok_c)</f>
        <v>0</v>
      </c>
      <c r="H22" s="12">
        <f>SUMIF(gol_C,B22,tunis_C)</f>
        <v>0</v>
      </c>
      <c r="I22" s="12">
        <f>SUMIF(gol_C,B22,tuna_c)</f>
        <v>0</v>
      </c>
      <c r="J22" s="17">
        <f t="shared" ref="J22:J24" si="28">G22+H22+I22</f>
        <v>0</v>
      </c>
      <c r="K22" s="17">
        <f>SUM(H22:I22)</f>
        <v>0</v>
      </c>
      <c r="L22" s="12">
        <f>SUMIF(gol_C,B22,tunc_esel)</f>
        <v>0</v>
      </c>
      <c r="M22" s="12">
        <f>SUMIF(gol_C,B22,tunc_um)</f>
        <v>0</v>
      </c>
      <c r="N22" s="12">
        <f>SUMIF(gol_C,B22,tunc_fu)</f>
        <v>0</v>
      </c>
      <c r="O22" s="12">
        <v>0</v>
      </c>
      <c r="P22" s="12">
        <f>SUMIF(gol_C,B22,tunc_ber)</f>
        <v>0</v>
      </c>
      <c r="Q22" s="12">
        <f>SUMIF(gol_C,B22,tunc_paj)</f>
        <v>0</v>
      </c>
      <c r="R22" s="12">
        <f>SUMIF(gol_C,B22,tunc_bulat)</f>
        <v>0</v>
      </c>
      <c r="S22" s="18">
        <f t="shared" si="3"/>
        <v>0</v>
      </c>
      <c r="T22" s="20">
        <f t="shared" si="4"/>
        <v>0</v>
      </c>
      <c r="U22" s="12">
        <f t="shared" si="26"/>
        <v>0</v>
      </c>
      <c r="V22" s="12">
        <v>0</v>
      </c>
      <c r="W22" s="12">
        <f>SUMIF(gol_C,B22,iwpC1)</f>
        <v>0</v>
      </c>
      <c r="X22" s="12">
        <f>SUMIF(gol_C,B22,iwpc8)</f>
        <v>0</v>
      </c>
      <c r="Y22" s="13">
        <f t="shared" si="6"/>
        <v>0</v>
      </c>
      <c r="Z22" s="14">
        <f t="shared" si="27"/>
        <v>0</v>
      </c>
    </row>
    <row r="23" spans="1:29" ht="18" customHeight="1" x14ac:dyDescent="0.25">
      <c r="A23" s="480"/>
      <c r="B23" s="15" t="s">
        <v>22</v>
      </c>
      <c r="C23" s="12">
        <f>IFERROR(VLOOKUP(B23,data,2,FALSE), 0)</f>
        <v>0</v>
      </c>
      <c r="D23" s="12" t="str">
        <f>IFERROR(VLOOKUP(B23,dada,3,FALSE),"0")</f>
        <v>0</v>
      </c>
      <c r="E23" s="12" t="str">
        <f>IFERROR(VLOOKUP(B23,dada,4,FALSE),"0")</f>
        <v>0</v>
      </c>
      <c r="F23" s="5">
        <f t="shared" si="7"/>
        <v>0</v>
      </c>
      <c r="G23" s="12">
        <f>SUMIF(gol_C,B23,gapok_c)</f>
        <v>0</v>
      </c>
      <c r="H23" s="12">
        <f>SUMIF(gol_C,B23,tunis_C)</f>
        <v>0</v>
      </c>
      <c r="I23" s="12">
        <f>SUMIF(gol_C,B23,tuna_c)</f>
        <v>0</v>
      </c>
      <c r="J23" s="17">
        <f t="shared" si="28"/>
        <v>0</v>
      </c>
      <c r="K23" s="17">
        <f>SUM(H23:I23)</f>
        <v>0</v>
      </c>
      <c r="L23" s="12">
        <f>SUMIF(gol_C,B23,tunc_esel)</f>
        <v>0</v>
      </c>
      <c r="M23" s="12">
        <f>SUMIF(gol_C,B23,tunc_um)</f>
        <v>0</v>
      </c>
      <c r="N23" s="12">
        <f>SUMIF(gol_C,B23,tunc_fu)</f>
        <v>0</v>
      </c>
      <c r="O23" s="12">
        <v>0</v>
      </c>
      <c r="P23" s="12">
        <f>SUMIF(gol_C,B23,tunc_ber)</f>
        <v>0</v>
      </c>
      <c r="Q23" s="12">
        <f>SUMIF(gol_C,B23,tunc_paj)</f>
        <v>0</v>
      </c>
      <c r="R23" s="12">
        <f>SUMIF(gol_C,B23,tunc_bulat)</f>
        <v>0</v>
      </c>
      <c r="S23" s="18">
        <f t="shared" si="3"/>
        <v>0</v>
      </c>
      <c r="T23" s="20">
        <f t="shared" si="4"/>
        <v>0</v>
      </c>
      <c r="U23" s="12">
        <f t="shared" si="26"/>
        <v>0</v>
      </c>
      <c r="V23" s="12">
        <v>0</v>
      </c>
      <c r="W23" s="12">
        <f>SUMIF(gol_C,B23,iwpC1)</f>
        <v>0</v>
      </c>
      <c r="X23" s="12">
        <f>SUMIF(gol_C,B23,iwpc8)</f>
        <v>0</v>
      </c>
      <c r="Y23" s="13">
        <f t="shared" si="6"/>
        <v>0</v>
      </c>
      <c r="Z23" s="14">
        <f t="shared" si="27"/>
        <v>0</v>
      </c>
    </row>
    <row r="24" spans="1:29" ht="18.5" customHeight="1" x14ac:dyDescent="0.25">
      <c r="A24" s="480"/>
      <c r="B24" s="15" t="s">
        <v>23</v>
      </c>
      <c r="C24" s="12">
        <f>IFERROR(VLOOKUP(B24,data,2,FALSE), 0)</f>
        <v>0</v>
      </c>
      <c r="D24" s="12" t="str">
        <f>IFERROR(VLOOKUP(B24,dada,3,FALSE),"0")</f>
        <v>0</v>
      </c>
      <c r="E24" s="12" t="str">
        <f>IFERROR(VLOOKUP(B24,dada,4,FALSE),"0")</f>
        <v>0</v>
      </c>
      <c r="F24" s="5">
        <f t="shared" si="7"/>
        <v>0</v>
      </c>
      <c r="G24" s="12">
        <f>SUMIF(gol_C,B24,gapok_c)</f>
        <v>0</v>
      </c>
      <c r="H24" s="12">
        <f>SUMIF(gol_C,B24,tunis_C)</f>
        <v>0</v>
      </c>
      <c r="I24" s="12">
        <f>SUMIF(gol_C,B24,tuna_c)</f>
        <v>0</v>
      </c>
      <c r="J24" s="17">
        <f t="shared" si="28"/>
        <v>0</v>
      </c>
      <c r="K24" s="17">
        <f>SUM(H24:I24)</f>
        <v>0</v>
      </c>
      <c r="L24" s="12">
        <f>SUMIF(gol_C,B24,tunc_esel)</f>
        <v>0</v>
      </c>
      <c r="M24" s="12">
        <f>SUMIF(gol_C,B24,tunc_um)</f>
        <v>0</v>
      </c>
      <c r="N24" s="12">
        <f>SUMIF(gol_C,B24,tunc_fu)</f>
        <v>0</v>
      </c>
      <c r="O24" s="12">
        <v>0</v>
      </c>
      <c r="P24" s="12">
        <f>SUMIF(gol_C,B24,tunc_ber)</f>
        <v>0</v>
      </c>
      <c r="Q24" s="12">
        <f>SUMIF(gol_C,B24,tunc_paj)</f>
        <v>0</v>
      </c>
      <c r="R24" s="12">
        <f>SUMIF(gol_C,B24,tunc_bulat)</f>
        <v>0</v>
      </c>
      <c r="S24" s="18">
        <f t="shared" si="3"/>
        <v>0</v>
      </c>
      <c r="T24" s="20">
        <f t="shared" si="4"/>
        <v>0</v>
      </c>
      <c r="U24" s="12">
        <f t="shared" si="26"/>
        <v>0</v>
      </c>
      <c r="V24" s="12">
        <v>0</v>
      </c>
      <c r="W24" s="12">
        <f>SUMIF(gol_C,B24,iwpC1)</f>
        <v>0</v>
      </c>
      <c r="X24" s="12">
        <f>SUMIF(gol_C,B24,iwpc8)</f>
        <v>0</v>
      </c>
      <c r="Y24" s="13">
        <f t="shared" si="6"/>
        <v>0</v>
      </c>
      <c r="Z24" s="14">
        <f t="shared" si="27"/>
        <v>0</v>
      </c>
    </row>
    <row r="25" spans="1:29" ht="13.5" thickBot="1" x14ac:dyDescent="0.3">
      <c r="A25" s="6"/>
      <c r="B25" s="7" t="s">
        <v>16</v>
      </c>
      <c r="C25" s="8">
        <f>C20+C15+C10+C5</f>
        <v>2</v>
      </c>
      <c r="D25" s="8">
        <f t="shared" ref="D25:Z25" si="29">D20+D15+D10+D5</f>
        <v>2</v>
      </c>
      <c r="E25" s="8">
        <f t="shared" si="29"/>
        <v>3</v>
      </c>
      <c r="F25" s="8">
        <f t="shared" si="29"/>
        <v>7</v>
      </c>
      <c r="G25" s="8">
        <f t="shared" si="29"/>
        <v>5717600</v>
      </c>
      <c r="H25" s="8">
        <f t="shared" si="29"/>
        <v>571760</v>
      </c>
      <c r="I25" s="8">
        <f t="shared" si="29"/>
        <v>171528</v>
      </c>
      <c r="J25" s="8">
        <f t="shared" si="29"/>
        <v>6460888</v>
      </c>
      <c r="K25" s="8">
        <f>K20+K15+K10+K5</f>
        <v>743288</v>
      </c>
      <c r="L25" s="8">
        <f t="shared" si="29"/>
        <v>0</v>
      </c>
      <c r="M25" s="8">
        <f t="shared" si="29"/>
        <v>0</v>
      </c>
      <c r="N25" s="8">
        <f t="shared" si="29"/>
        <v>710000</v>
      </c>
      <c r="O25" s="8">
        <f t="shared" si="29"/>
        <v>0</v>
      </c>
      <c r="P25" s="8">
        <f t="shared" si="29"/>
        <v>506940</v>
      </c>
      <c r="Q25" s="8">
        <f t="shared" si="29"/>
        <v>0</v>
      </c>
      <c r="R25" s="8">
        <f>R20+R15+R10+R5</f>
        <v>81</v>
      </c>
      <c r="S25" s="8">
        <f t="shared" si="29"/>
        <v>1217021</v>
      </c>
      <c r="T25" s="8">
        <f t="shared" si="29"/>
        <v>7677909</v>
      </c>
      <c r="U25" s="8">
        <f t="shared" si="29"/>
        <v>0</v>
      </c>
      <c r="V25" s="8">
        <f t="shared" si="29"/>
        <v>0</v>
      </c>
      <c r="W25" s="8">
        <f t="shared" si="29"/>
        <v>71709</v>
      </c>
      <c r="X25" s="8">
        <f t="shared" si="29"/>
        <v>0</v>
      </c>
      <c r="Y25" s="8">
        <f t="shared" si="29"/>
        <v>71709</v>
      </c>
      <c r="Z25" s="8">
        <f t="shared" si="29"/>
        <v>7606200</v>
      </c>
      <c r="AB25" s="32"/>
      <c r="AC25" s="40"/>
    </row>
    <row r="29" spans="1:29" x14ac:dyDescent="0.25">
      <c r="T29" s="121"/>
    </row>
  </sheetData>
  <mergeCells count="27">
    <mergeCell ref="F1:T1"/>
    <mergeCell ref="T2:T3"/>
    <mergeCell ref="V2:V3"/>
    <mergeCell ref="W2:W3"/>
    <mergeCell ref="K2:K3"/>
    <mergeCell ref="C2:C3"/>
    <mergeCell ref="S2:S3"/>
    <mergeCell ref="P2:P3"/>
    <mergeCell ref="Q2:Q3"/>
    <mergeCell ref="Y2:Y3"/>
    <mergeCell ref="X2:X3"/>
    <mergeCell ref="A5:A24"/>
    <mergeCell ref="L2:O2"/>
    <mergeCell ref="R2:R3"/>
    <mergeCell ref="U1:Y1"/>
    <mergeCell ref="Z1:Z3"/>
    <mergeCell ref="A1:A3"/>
    <mergeCell ref="B1:B3"/>
    <mergeCell ref="I2:I3"/>
    <mergeCell ref="J2:J3"/>
    <mergeCell ref="U2:U3"/>
    <mergeCell ref="C1:E1"/>
    <mergeCell ref="H2:H3"/>
    <mergeCell ref="G2:G3"/>
    <mergeCell ref="F2:F3"/>
    <mergeCell ref="E2:E3"/>
    <mergeCell ref="D2:D3"/>
  </mergeCells>
  <pageMargins left="0.74803149606299213" right="0.74803149606299213" top="0.98425196850393704" bottom="0.98425196850393704" header="0.51181102362204722" footer="0.51181102362204722"/>
  <pageSetup paperSize="5" orientation="landscape" horizontalDpi="4294967293" verticalDpi="18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024C-B044-4ADA-8832-D522399B53AF}">
  <dimension ref="A1:W25"/>
  <sheetViews>
    <sheetView workbookViewId="0">
      <pane xSplit="4" ySplit="3" topLeftCell="N4" activePane="bottomRight" state="frozen"/>
      <selection pane="topRight" activeCell="D1" sqref="D1"/>
      <selection pane="bottomLeft" activeCell="A3" sqref="A3"/>
      <selection pane="bottomRight" activeCell="B2" sqref="B2:B3"/>
    </sheetView>
  </sheetViews>
  <sheetFormatPr defaultRowHeight="12.5" x14ac:dyDescent="0.25"/>
  <cols>
    <col min="1" max="1" width="4.1796875" customWidth="1"/>
    <col min="2" max="2" width="32.36328125" customWidth="1"/>
    <col min="3" max="3" width="11.36328125" bestFit="1" customWidth="1"/>
    <col min="4" max="4" width="10.6328125" hidden="1" customWidth="1"/>
    <col min="5" max="7" width="6.6328125" bestFit="1" customWidth="1"/>
    <col min="8" max="8" width="13.81640625" bestFit="1" customWidth="1"/>
    <col min="9" max="10" width="12.7265625" bestFit="1" customWidth="1"/>
    <col min="11" max="11" width="13.54296875" bestFit="1" customWidth="1"/>
    <col min="12" max="12" width="13.26953125" bestFit="1" customWidth="1"/>
    <col min="13" max="13" width="11.26953125" bestFit="1" customWidth="1"/>
    <col min="14" max="14" width="8.1796875" bestFit="1" customWidth="1"/>
    <col min="15" max="15" width="12.7265625" bestFit="1" customWidth="1"/>
    <col min="16" max="16" width="11.1796875" bestFit="1" customWidth="1"/>
    <col min="17" max="17" width="12.7265625" bestFit="1" customWidth="1"/>
    <col min="18" max="18" width="13.81640625" bestFit="1" customWidth="1"/>
    <col min="19" max="19" width="11.1796875" bestFit="1" customWidth="1"/>
    <col min="20" max="20" width="13.36328125" bestFit="1" customWidth="1"/>
    <col min="21" max="21" width="12.7265625" bestFit="1" customWidth="1"/>
    <col min="22" max="22" width="11.90625" style="37" bestFit="1" customWidth="1"/>
    <col min="23" max="23" width="11.1796875" style="34" bestFit="1" customWidth="1"/>
  </cols>
  <sheetData>
    <row r="1" spans="1:23" x14ac:dyDescent="0.25">
      <c r="B1" s="43" t="s">
        <v>340</v>
      </c>
      <c r="C1" s="43"/>
    </row>
    <row r="2" spans="1:23" s="28" customFormat="1" ht="15.5" x14ac:dyDescent="0.35">
      <c r="A2" s="502" t="s">
        <v>59</v>
      </c>
      <c r="B2" s="502" t="s">
        <v>60</v>
      </c>
      <c r="C2" s="27" t="s">
        <v>61</v>
      </c>
      <c r="D2" s="27" t="s">
        <v>61</v>
      </c>
      <c r="E2" s="27" t="s">
        <v>62</v>
      </c>
      <c r="F2" s="27" t="s">
        <v>64</v>
      </c>
      <c r="G2" s="27" t="s">
        <v>63</v>
      </c>
      <c r="H2" s="27" t="s">
        <v>71</v>
      </c>
      <c r="I2" s="27" t="s">
        <v>72</v>
      </c>
      <c r="J2" s="27" t="s">
        <v>73</v>
      </c>
      <c r="K2" s="27" t="s">
        <v>65</v>
      </c>
      <c r="L2" s="27" t="s">
        <v>66</v>
      </c>
      <c r="M2" s="27" t="s">
        <v>77</v>
      </c>
      <c r="N2" s="27" t="s">
        <v>78</v>
      </c>
      <c r="O2" s="27" t="s">
        <v>67</v>
      </c>
      <c r="P2" s="27" t="s">
        <v>68</v>
      </c>
      <c r="Q2" s="27" t="s">
        <v>74</v>
      </c>
      <c r="R2" s="27" t="s">
        <v>75</v>
      </c>
      <c r="S2" s="27" t="s">
        <v>69</v>
      </c>
      <c r="T2" s="27" t="s">
        <v>70</v>
      </c>
      <c r="U2" s="27" t="s">
        <v>76</v>
      </c>
      <c r="V2" s="35"/>
      <c r="W2" s="38"/>
    </row>
    <row r="3" spans="1:23" s="28" customFormat="1" ht="15.5" x14ac:dyDescent="0.3">
      <c r="A3" s="502"/>
      <c r="B3" s="502"/>
      <c r="C3" s="29">
        <v>1</v>
      </c>
      <c r="D3" s="29">
        <v>1</v>
      </c>
      <c r="E3" s="29">
        <v>2</v>
      </c>
      <c r="F3" s="29">
        <v>3</v>
      </c>
      <c r="G3" s="29">
        <v>4</v>
      </c>
      <c r="H3" s="29">
        <v>5</v>
      </c>
      <c r="I3" s="29">
        <v>6</v>
      </c>
      <c r="J3" s="29">
        <v>7</v>
      </c>
      <c r="K3" s="29">
        <v>8</v>
      </c>
      <c r="L3" s="29">
        <v>9</v>
      </c>
      <c r="M3" s="29">
        <v>10</v>
      </c>
      <c r="N3" s="29">
        <v>11</v>
      </c>
      <c r="O3" s="29">
        <v>12</v>
      </c>
      <c r="P3" s="29">
        <v>13</v>
      </c>
      <c r="Q3" s="29">
        <v>14</v>
      </c>
      <c r="R3" s="29">
        <v>15</v>
      </c>
      <c r="S3" s="29">
        <v>16</v>
      </c>
      <c r="T3" s="29">
        <v>17</v>
      </c>
      <c r="U3" s="29">
        <v>18</v>
      </c>
      <c r="V3" s="35"/>
      <c r="W3" s="38"/>
    </row>
    <row r="4" spans="1:23" ht="18.5" customHeight="1" x14ac:dyDescent="0.35">
      <c r="A4" s="22">
        <v>1</v>
      </c>
      <c r="B4" s="22" t="s">
        <v>314</v>
      </c>
      <c r="C4" s="22" t="s">
        <v>275</v>
      </c>
      <c r="D4" s="22" t="s">
        <v>18</v>
      </c>
      <c r="E4" s="22">
        <v>1</v>
      </c>
      <c r="F4" s="22">
        <v>1</v>
      </c>
      <c r="G4" s="22">
        <v>1</v>
      </c>
      <c r="H4" s="23">
        <v>2858800</v>
      </c>
      <c r="I4" s="23">
        <f t="shared" ref="I4:I19" si="0">(H4*10%)*F4</f>
        <v>285880</v>
      </c>
      <c r="J4" s="23">
        <f t="shared" ref="J4:J19" si="1">(H4*2%)*G4</f>
        <v>57176</v>
      </c>
      <c r="K4" s="23">
        <v>0</v>
      </c>
      <c r="L4" s="23">
        <v>0</v>
      </c>
      <c r="M4" s="23">
        <v>360000</v>
      </c>
      <c r="N4" s="23">
        <v>0</v>
      </c>
      <c r="O4" s="23">
        <f>72420*SUM(E4:G4)</f>
        <v>217260</v>
      </c>
      <c r="P4" s="23">
        <v>0</v>
      </c>
      <c r="Q4" s="23">
        <v>3</v>
      </c>
      <c r="R4" s="24">
        <f>SUM(H4:Q4)</f>
        <v>3779119</v>
      </c>
      <c r="S4" s="23">
        <v>35619</v>
      </c>
      <c r="T4" s="23">
        <v>0</v>
      </c>
      <c r="U4" s="25">
        <f>P4+S4+T4</f>
        <v>35619</v>
      </c>
      <c r="V4" s="36">
        <f>R4-U4</f>
        <v>3743500</v>
      </c>
      <c r="W4" s="37"/>
    </row>
    <row r="5" spans="1:23" ht="15.5" x14ac:dyDescent="0.35">
      <c r="A5" s="22">
        <v>2</v>
      </c>
      <c r="B5" s="22" t="s">
        <v>315</v>
      </c>
      <c r="C5" s="22" t="s">
        <v>275</v>
      </c>
      <c r="D5" s="22" t="s">
        <v>18</v>
      </c>
      <c r="E5" s="22">
        <v>1</v>
      </c>
      <c r="F5" s="22">
        <v>1</v>
      </c>
      <c r="G5" s="22">
        <v>2</v>
      </c>
      <c r="H5" s="23">
        <v>2858800</v>
      </c>
      <c r="I5" s="23">
        <f t="shared" si="0"/>
        <v>285880</v>
      </c>
      <c r="J5" s="23">
        <f t="shared" si="1"/>
        <v>114352</v>
      </c>
      <c r="K5" s="23">
        <v>0</v>
      </c>
      <c r="L5" s="23">
        <v>0</v>
      </c>
      <c r="M5" s="23">
        <v>350000</v>
      </c>
      <c r="N5" s="23">
        <v>0</v>
      </c>
      <c r="O5" s="23">
        <f>72420*SUM(E5:G5)</f>
        <v>289680</v>
      </c>
      <c r="P5" s="23">
        <v>0</v>
      </c>
      <c r="Q5" s="23">
        <v>78</v>
      </c>
      <c r="R5" s="24">
        <f t="shared" ref="R5:R19" si="2">SUM(H5:Q5)</f>
        <v>3898790</v>
      </c>
      <c r="S5" s="23">
        <v>36090</v>
      </c>
      <c r="T5" s="23">
        <v>0</v>
      </c>
      <c r="U5" s="25">
        <f t="shared" ref="U5:U19" si="3">P5+S5+T5</f>
        <v>36090</v>
      </c>
      <c r="V5" s="36">
        <f>R5-U5</f>
        <v>3862700</v>
      </c>
      <c r="W5" s="37"/>
    </row>
    <row r="6" spans="1:23" ht="15.5" x14ac:dyDescent="0.35">
      <c r="A6" s="22">
        <v>3</v>
      </c>
      <c r="B6" s="22"/>
      <c r="C6" s="22"/>
      <c r="D6" s="22"/>
      <c r="E6" s="22"/>
      <c r="F6" s="22"/>
      <c r="G6" s="22"/>
      <c r="H6" s="23"/>
      <c r="I6" s="23">
        <f t="shared" si="0"/>
        <v>0</v>
      </c>
      <c r="J6" s="23">
        <f t="shared" si="1"/>
        <v>0</v>
      </c>
      <c r="K6" s="23">
        <v>0</v>
      </c>
      <c r="L6" s="23">
        <v>0</v>
      </c>
      <c r="M6" s="23">
        <v>0</v>
      </c>
      <c r="N6" s="23">
        <v>0</v>
      </c>
      <c r="O6" s="23">
        <f>72420*SUM(E6:G6)</f>
        <v>0</v>
      </c>
      <c r="P6" s="23">
        <v>0</v>
      </c>
      <c r="Q6" s="23">
        <v>0</v>
      </c>
      <c r="R6" s="24">
        <f t="shared" si="2"/>
        <v>0</v>
      </c>
      <c r="S6" s="23">
        <v>0</v>
      </c>
      <c r="T6" s="23">
        <v>0</v>
      </c>
      <c r="U6" s="25">
        <f t="shared" si="3"/>
        <v>0</v>
      </c>
      <c r="V6" s="36"/>
      <c r="W6" s="37"/>
    </row>
    <row r="7" spans="1:23" ht="15.5" x14ac:dyDescent="0.35">
      <c r="A7" s="22">
        <v>4</v>
      </c>
      <c r="B7" s="22"/>
      <c r="C7" s="22"/>
      <c r="D7" s="22"/>
      <c r="E7" s="22"/>
      <c r="F7" s="22"/>
      <c r="G7" s="22"/>
      <c r="H7" s="23"/>
      <c r="I7" s="23">
        <f t="shared" si="0"/>
        <v>0</v>
      </c>
      <c r="J7" s="23">
        <f t="shared" si="1"/>
        <v>0</v>
      </c>
      <c r="K7" s="23">
        <v>0</v>
      </c>
      <c r="L7" s="23">
        <v>0</v>
      </c>
      <c r="M7" s="23">
        <v>0</v>
      </c>
      <c r="N7" s="23">
        <v>0</v>
      </c>
      <c r="O7" s="23">
        <f>72420*SUM(E7:G7)</f>
        <v>0</v>
      </c>
      <c r="P7" s="23">
        <v>0</v>
      </c>
      <c r="Q7" s="23">
        <v>0</v>
      </c>
      <c r="R7" s="24">
        <f t="shared" si="2"/>
        <v>0</v>
      </c>
      <c r="S7" s="23">
        <v>0</v>
      </c>
      <c r="T7" s="23">
        <v>0</v>
      </c>
      <c r="U7" s="25">
        <f t="shared" si="3"/>
        <v>0</v>
      </c>
      <c r="V7" s="36"/>
      <c r="W7" s="37"/>
    </row>
    <row r="8" spans="1:23" ht="15.5" x14ac:dyDescent="0.35">
      <c r="A8" s="22">
        <v>5</v>
      </c>
      <c r="B8" s="22"/>
      <c r="C8" s="22"/>
      <c r="D8" s="22"/>
      <c r="E8" s="22"/>
      <c r="F8" s="22"/>
      <c r="G8" s="22"/>
      <c r="H8" s="23"/>
      <c r="I8" s="23">
        <f t="shared" si="0"/>
        <v>0</v>
      </c>
      <c r="J8" s="23">
        <f t="shared" si="1"/>
        <v>0</v>
      </c>
      <c r="K8" s="23">
        <v>0</v>
      </c>
      <c r="L8" s="23">
        <v>0</v>
      </c>
      <c r="M8" s="23">
        <v>0</v>
      </c>
      <c r="N8" s="23">
        <v>0</v>
      </c>
      <c r="O8" s="23">
        <f t="shared" ref="O8:O17" si="4">72420*SUM(E8:G8)</f>
        <v>0</v>
      </c>
      <c r="P8" s="23">
        <v>0</v>
      </c>
      <c r="Q8" s="23">
        <v>0</v>
      </c>
      <c r="R8" s="24">
        <f>SUM(H8:Q8)</f>
        <v>0</v>
      </c>
      <c r="S8" s="23">
        <v>0</v>
      </c>
      <c r="T8" s="23">
        <v>0</v>
      </c>
      <c r="U8" s="25">
        <f>P8+S8+T8</f>
        <v>0</v>
      </c>
      <c r="V8" s="36"/>
      <c r="W8" s="37"/>
    </row>
    <row r="9" spans="1:23" ht="15.5" x14ac:dyDescent="0.35">
      <c r="A9" s="22">
        <v>6</v>
      </c>
      <c r="B9" s="22"/>
      <c r="C9" s="22"/>
      <c r="D9" s="22"/>
      <c r="E9" s="22"/>
      <c r="F9" s="22"/>
      <c r="G9" s="22"/>
      <c r="H9" s="23"/>
      <c r="I9" s="23">
        <f t="shared" si="0"/>
        <v>0</v>
      </c>
      <c r="J9" s="23">
        <f t="shared" si="1"/>
        <v>0</v>
      </c>
      <c r="K9" s="23">
        <v>0</v>
      </c>
      <c r="L9" s="23">
        <v>0</v>
      </c>
      <c r="M9" s="23">
        <v>0</v>
      </c>
      <c r="N9" s="23">
        <v>0</v>
      </c>
      <c r="O9" s="23">
        <f t="shared" si="4"/>
        <v>0</v>
      </c>
      <c r="P9" s="23">
        <v>0</v>
      </c>
      <c r="Q9" s="23">
        <v>0</v>
      </c>
      <c r="R9" s="24">
        <f t="shared" si="2"/>
        <v>0</v>
      </c>
      <c r="S9" s="23">
        <v>0</v>
      </c>
      <c r="T9" s="23">
        <v>0</v>
      </c>
      <c r="U9" s="25">
        <f t="shared" si="3"/>
        <v>0</v>
      </c>
      <c r="V9" s="36"/>
      <c r="W9" s="37"/>
    </row>
    <row r="10" spans="1:23" ht="15.5" x14ac:dyDescent="0.35">
      <c r="A10" s="22">
        <v>7</v>
      </c>
      <c r="B10" s="22"/>
      <c r="C10" s="22"/>
      <c r="D10" s="22"/>
      <c r="E10" s="22"/>
      <c r="F10" s="22"/>
      <c r="G10" s="22"/>
      <c r="H10" s="23"/>
      <c r="I10" s="23">
        <f t="shared" si="0"/>
        <v>0</v>
      </c>
      <c r="J10" s="23">
        <f t="shared" si="1"/>
        <v>0</v>
      </c>
      <c r="K10" s="23">
        <v>0</v>
      </c>
      <c r="L10" s="23">
        <v>0</v>
      </c>
      <c r="M10" s="23">
        <v>0</v>
      </c>
      <c r="N10" s="23">
        <v>0</v>
      </c>
      <c r="O10" s="23">
        <f t="shared" si="4"/>
        <v>0</v>
      </c>
      <c r="P10" s="23">
        <v>0</v>
      </c>
      <c r="Q10" s="23">
        <v>0</v>
      </c>
      <c r="R10" s="24">
        <f>SUM(H10:Q10)</f>
        <v>0</v>
      </c>
      <c r="S10" s="23">
        <v>0</v>
      </c>
      <c r="T10" s="23">
        <v>0</v>
      </c>
      <c r="U10" s="25">
        <f>P10+S10+T10</f>
        <v>0</v>
      </c>
      <c r="V10" s="36"/>
      <c r="W10" s="37"/>
    </row>
    <row r="11" spans="1:23" ht="15.5" x14ac:dyDescent="0.35">
      <c r="A11" s="22">
        <v>8</v>
      </c>
      <c r="B11" s="22"/>
      <c r="C11" s="22"/>
      <c r="D11" s="22"/>
      <c r="E11" s="22"/>
      <c r="F11" s="22"/>
      <c r="G11" s="22"/>
      <c r="H11" s="23"/>
      <c r="I11" s="23">
        <f t="shared" si="0"/>
        <v>0</v>
      </c>
      <c r="J11" s="23">
        <f t="shared" si="1"/>
        <v>0</v>
      </c>
      <c r="K11" s="23">
        <v>0</v>
      </c>
      <c r="L11" s="23">
        <v>0</v>
      </c>
      <c r="M11" s="23">
        <v>0</v>
      </c>
      <c r="N11" s="23">
        <v>0</v>
      </c>
      <c r="O11" s="23">
        <f t="shared" si="4"/>
        <v>0</v>
      </c>
      <c r="P11" s="23">
        <v>0</v>
      </c>
      <c r="Q11" s="23">
        <v>0</v>
      </c>
      <c r="R11" s="24">
        <f t="shared" si="2"/>
        <v>0</v>
      </c>
      <c r="S11" s="23">
        <v>0</v>
      </c>
      <c r="T11" s="23">
        <v>0</v>
      </c>
      <c r="U11" s="25">
        <f t="shared" si="3"/>
        <v>0</v>
      </c>
      <c r="V11" s="36"/>
      <c r="W11" s="37"/>
    </row>
    <row r="12" spans="1:23" ht="15.5" x14ac:dyDescent="0.35">
      <c r="A12" s="22">
        <v>9</v>
      </c>
      <c r="B12" s="22"/>
      <c r="C12" s="22"/>
      <c r="D12" s="22"/>
      <c r="E12" s="22"/>
      <c r="F12" s="22"/>
      <c r="G12" s="22"/>
      <c r="H12" s="23"/>
      <c r="I12" s="23">
        <f t="shared" si="0"/>
        <v>0</v>
      </c>
      <c r="J12" s="23">
        <f t="shared" si="1"/>
        <v>0</v>
      </c>
      <c r="K12" s="23">
        <v>0</v>
      </c>
      <c r="L12" s="23">
        <v>0</v>
      </c>
      <c r="M12" s="23">
        <v>0</v>
      </c>
      <c r="N12" s="23">
        <v>0</v>
      </c>
      <c r="O12" s="23">
        <f t="shared" si="4"/>
        <v>0</v>
      </c>
      <c r="P12" s="23">
        <v>0</v>
      </c>
      <c r="Q12" s="23">
        <v>0</v>
      </c>
      <c r="R12" s="24">
        <f t="shared" si="2"/>
        <v>0</v>
      </c>
      <c r="S12" s="23">
        <v>0</v>
      </c>
      <c r="T12" s="23">
        <v>0</v>
      </c>
      <c r="U12" s="25">
        <f t="shared" si="3"/>
        <v>0</v>
      </c>
      <c r="V12" s="36"/>
      <c r="W12" s="37"/>
    </row>
    <row r="13" spans="1:23" ht="15.5" x14ac:dyDescent="0.35">
      <c r="A13" s="22">
        <v>10</v>
      </c>
      <c r="B13" s="22"/>
      <c r="C13" s="22"/>
      <c r="D13" s="22"/>
      <c r="E13" s="22"/>
      <c r="F13" s="22"/>
      <c r="G13" s="22"/>
      <c r="H13" s="23"/>
      <c r="I13" s="23">
        <f t="shared" si="0"/>
        <v>0</v>
      </c>
      <c r="J13" s="23">
        <f t="shared" si="1"/>
        <v>0</v>
      </c>
      <c r="K13" s="23">
        <v>0</v>
      </c>
      <c r="L13" s="23">
        <v>0</v>
      </c>
      <c r="M13" s="23">
        <v>0</v>
      </c>
      <c r="N13" s="23">
        <v>0</v>
      </c>
      <c r="O13" s="23">
        <f t="shared" si="4"/>
        <v>0</v>
      </c>
      <c r="P13" s="23">
        <v>0</v>
      </c>
      <c r="Q13" s="23">
        <v>0</v>
      </c>
      <c r="R13" s="24">
        <f t="shared" si="2"/>
        <v>0</v>
      </c>
      <c r="S13" s="23">
        <v>0</v>
      </c>
      <c r="T13" s="23">
        <v>0</v>
      </c>
      <c r="U13" s="25">
        <f t="shared" si="3"/>
        <v>0</v>
      </c>
      <c r="V13" s="36"/>
      <c r="W13" s="37"/>
    </row>
    <row r="14" spans="1:23" ht="15.5" x14ac:dyDescent="0.35">
      <c r="A14" s="22">
        <v>11</v>
      </c>
      <c r="B14" s="22"/>
      <c r="C14" s="22"/>
      <c r="D14" s="22"/>
      <c r="E14" s="22"/>
      <c r="F14" s="22"/>
      <c r="G14" s="22"/>
      <c r="H14" s="23"/>
      <c r="I14" s="23">
        <f t="shared" si="0"/>
        <v>0</v>
      </c>
      <c r="J14" s="23">
        <f t="shared" si="1"/>
        <v>0</v>
      </c>
      <c r="K14" s="23">
        <v>0</v>
      </c>
      <c r="L14" s="23">
        <v>0</v>
      </c>
      <c r="M14" s="23">
        <v>0</v>
      </c>
      <c r="N14" s="23">
        <v>0</v>
      </c>
      <c r="O14" s="23">
        <f t="shared" si="4"/>
        <v>0</v>
      </c>
      <c r="P14" s="23">
        <v>0</v>
      </c>
      <c r="Q14" s="23">
        <v>0</v>
      </c>
      <c r="R14" s="24">
        <f t="shared" si="2"/>
        <v>0</v>
      </c>
      <c r="S14" s="23">
        <v>0</v>
      </c>
      <c r="T14" s="23">
        <v>0</v>
      </c>
      <c r="U14" s="25">
        <f t="shared" si="3"/>
        <v>0</v>
      </c>
      <c r="V14" s="36"/>
      <c r="W14" s="37"/>
    </row>
    <row r="15" spans="1:23" ht="15.5" x14ac:dyDescent="0.35">
      <c r="A15" s="22">
        <v>12</v>
      </c>
      <c r="B15" s="22"/>
      <c r="C15" s="22"/>
      <c r="D15" s="22"/>
      <c r="E15" s="22"/>
      <c r="F15" s="22"/>
      <c r="G15" s="22"/>
      <c r="H15" s="23"/>
      <c r="I15" s="23">
        <f t="shared" si="0"/>
        <v>0</v>
      </c>
      <c r="J15" s="23">
        <f t="shared" si="1"/>
        <v>0</v>
      </c>
      <c r="K15" s="23">
        <v>0</v>
      </c>
      <c r="L15" s="23">
        <v>0</v>
      </c>
      <c r="M15" s="23">
        <v>0</v>
      </c>
      <c r="N15" s="23">
        <v>0</v>
      </c>
      <c r="O15" s="23">
        <f t="shared" si="4"/>
        <v>0</v>
      </c>
      <c r="P15" s="23">
        <v>0</v>
      </c>
      <c r="Q15" s="23">
        <v>0</v>
      </c>
      <c r="R15" s="24">
        <f t="shared" si="2"/>
        <v>0</v>
      </c>
      <c r="S15" s="23">
        <v>0</v>
      </c>
      <c r="T15" s="23">
        <v>0</v>
      </c>
      <c r="U15" s="25">
        <f t="shared" si="3"/>
        <v>0</v>
      </c>
      <c r="V15" s="36"/>
      <c r="W15" s="37"/>
    </row>
    <row r="16" spans="1:23" ht="15.5" x14ac:dyDescent="0.35">
      <c r="A16" s="22">
        <v>13</v>
      </c>
      <c r="B16" s="22"/>
      <c r="C16" s="22"/>
      <c r="D16" s="22"/>
      <c r="E16" s="22"/>
      <c r="F16" s="22"/>
      <c r="G16" s="22"/>
      <c r="H16" s="23"/>
      <c r="I16" s="23">
        <f t="shared" si="0"/>
        <v>0</v>
      </c>
      <c r="J16" s="23">
        <f t="shared" si="1"/>
        <v>0</v>
      </c>
      <c r="K16" s="23">
        <v>0</v>
      </c>
      <c r="L16" s="23">
        <v>0</v>
      </c>
      <c r="M16" s="23">
        <v>0</v>
      </c>
      <c r="N16" s="23">
        <v>0</v>
      </c>
      <c r="O16" s="23">
        <f t="shared" si="4"/>
        <v>0</v>
      </c>
      <c r="P16" s="23">
        <v>0</v>
      </c>
      <c r="Q16" s="23">
        <v>0</v>
      </c>
      <c r="R16" s="24">
        <f t="shared" si="2"/>
        <v>0</v>
      </c>
      <c r="S16" s="23">
        <v>0</v>
      </c>
      <c r="T16" s="23">
        <v>0</v>
      </c>
      <c r="U16" s="25">
        <f t="shared" si="3"/>
        <v>0</v>
      </c>
      <c r="V16" s="36"/>
      <c r="W16" s="37"/>
    </row>
    <row r="17" spans="1:23" ht="15.5" x14ac:dyDescent="0.35">
      <c r="A17" s="22">
        <v>14</v>
      </c>
      <c r="B17" s="22"/>
      <c r="C17" s="22"/>
      <c r="D17" s="22"/>
      <c r="E17" s="22"/>
      <c r="F17" s="22"/>
      <c r="G17" s="22"/>
      <c r="H17" s="23"/>
      <c r="I17" s="23">
        <f t="shared" si="0"/>
        <v>0</v>
      </c>
      <c r="J17" s="23">
        <f t="shared" si="1"/>
        <v>0</v>
      </c>
      <c r="K17" s="23">
        <v>0</v>
      </c>
      <c r="L17" s="23">
        <v>0</v>
      </c>
      <c r="M17" s="23">
        <v>0</v>
      </c>
      <c r="N17" s="23">
        <v>0</v>
      </c>
      <c r="O17" s="23">
        <f t="shared" si="4"/>
        <v>0</v>
      </c>
      <c r="P17" s="23">
        <v>0</v>
      </c>
      <c r="Q17" s="23">
        <v>0</v>
      </c>
      <c r="R17" s="24">
        <f t="shared" si="2"/>
        <v>0</v>
      </c>
      <c r="S17" s="23">
        <v>0</v>
      </c>
      <c r="T17" s="23">
        <v>0</v>
      </c>
      <c r="U17" s="25">
        <f t="shared" si="3"/>
        <v>0</v>
      </c>
      <c r="V17" s="36"/>
      <c r="W17" s="37"/>
    </row>
    <row r="18" spans="1:23" ht="15.5" x14ac:dyDescent="0.35">
      <c r="A18" s="22">
        <v>15</v>
      </c>
      <c r="B18" s="22"/>
      <c r="C18" s="22"/>
      <c r="D18" s="22"/>
      <c r="E18" s="22"/>
      <c r="F18" s="22"/>
      <c r="G18" s="22"/>
      <c r="H18" s="23"/>
      <c r="I18" s="23">
        <f t="shared" si="0"/>
        <v>0</v>
      </c>
      <c r="J18" s="23">
        <f t="shared" si="1"/>
        <v>0</v>
      </c>
      <c r="K18" s="23">
        <v>0</v>
      </c>
      <c r="L18" s="23">
        <v>0</v>
      </c>
      <c r="M18" s="23">
        <v>0</v>
      </c>
      <c r="N18" s="23">
        <v>0</v>
      </c>
      <c r="O18" s="23">
        <f t="shared" ref="O18" si="5">72420*SUM(E18:G18)</f>
        <v>0</v>
      </c>
      <c r="P18" s="23">
        <v>0</v>
      </c>
      <c r="Q18" s="23">
        <v>0</v>
      </c>
      <c r="R18" s="24">
        <f t="shared" si="2"/>
        <v>0</v>
      </c>
      <c r="S18" s="23">
        <v>0</v>
      </c>
      <c r="T18" s="23">
        <v>0</v>
      </c>
      <c r="U18" s="25">
        <f t="shared" si="3"/>
        <v>0</v>
      </c>
      <c r="V18" s="36"/>
      <c r="W18" s="37"/>
    </row>
    <row r="19" spans="1:23" ht="15.5" x14ac:dyDescent="0.35">
      <c r="A19" s="22">
        <v>16</v>
      </c>
      <c r="B19" s="22"/>
      <c r="C19" s="22"/>
      <c r="D19" s="22"/>
      <c r="E19" s="22"/>
      <c r="F19" s="22"/>
      <c r="G19" s="22"/>
      <c r="H19" s="23"/>
      <c r="I19" s="23">
        <f t="shared" si="0"/>
        <v>0</v>
      </c>
      <c r="J19" s="23">
        <f t="shared" si="1"/>
        <v>0</v>
      </c>
      <c r="K19" s="23">
        <v>0</v>
      </c>
      <c r="L19" s="23">
        <v>0</v>
      </c>
      <c r="M19" s="23">
        <v>0</v>
      </c>
      <c r="N19" s="23">
        <v>0</v>
      </c>
      <c r="O19" s="23">
        <f t="shared" ref="O19" si="6">72420*SUM(E19:G19)</f>
        <v>0</v>
      </c>
      <c r="P19" s="23">
        <v>0</v>
      </c>
      <c r="Q19" s="23">
        <v>0</v>
      </c>
      <c r="R19" s="24">
        <f t="shared" si="2"/>
        <v>0</v>
      </c>
      <c r="S19" s="23">
        <v>0</v>
      </c>
      <c r="T19" s="23">
        <v>0</v>
      </c>
      <c r="U19" s="25">
        <f t="shared" si="3"/>
        <v>0</v>
      </c>
      <c r="V19" s="36"/>
      <c r="W19" s="37"/>
    </row>
    <row r="20" spans="1:23" ht="15.5" x14ac:dyDescent="0.35">
      <c r="A20" s="22">
        <v>17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W20" s="37"/>
    </row>
    <row r="21" spans="1:23" ht="15.5" x14ac:dyDescent="0.35">
      <c r="A21" s="22">
        <v>18</v>
      </c>
      <c r="B21" s="22"/>
      <c r="C21" s="22"/>
      <c r="D21" s="22"/>
      <c r="E21" s="22"/>
      <c r="F21" s="22"/>
      <c r="G21" s="22"/>
      <c r="H21" s="26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6"/>
      <c r="T21" s="22"/>
      <c r="U21" s="22"/>
      <c r="W21" s="37"/>
    </row>
    <row r="22" spans="1:23" ht="15.5" x14ac:dyDescent="0.35">
      <c r="A22" s="22">
        <v>19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W22" s="37"/>
    </row>
    <row r="23" spans="1:23" ht="15.5" x14ac:dyDescent="0.35">
      <c r="A23" s="22">
        <v>20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W23" s="37"/>
    </row>
    <row r="24" spans="1:23" ht="15.5" x14ac:dyDescent="0.35">
      <c r="A24" s="22">
        <v>21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W24" s="37"/>
    </row>
    <row r="25" spans="1:23" x14ac:dyDescent="0.25">
      <c r="E25" s="37">
        <f>SUM(E4:E24)</f>
        <v>2</v>
      </c>
      <c r="F25" s="37">
        <f>SUM(F4:F24)</f>
        <v>2</v>
      </c>
      <c r="G25" s="37">
        <f>SUM(G4:G24)</f>
        <v>3</v>
      </c>
      <c r="H25" s="37">
        <f t="shared" ref="H25:U25" si="7">SUM(H4:H24)</f>
        <v>5717600</v>
      </c>
      <c r="I25" s="37">
        <f t="shared" si="7"/>
        <v>571760</v>
      </c>
      <c r="J25" s="37">
        <f t="shared" si="7"/>
        <v>171528</v>
      </c>
      <c r="K25" s="37">
        <f t="shared" si="7"/>
        <v>0</v>
      </c>
      <c r="L25" s="37">
        <f t="shared" si="7"/>
        <v>0</v>
      </c>
      <c r="M25" s="37">
        <f t="shared" si="7"/>
        <v>710000</v>
      </c>
      <c r="N25" s="37">
        <f t="shared" si="7"/>
        <v>0</v>
      </c>
      <c r="O25" s="37">
        <f t="shared" si="7"/>
        <v>506940</v>
      </c>
      <c r="P25" s="37">
        <f t="shared" si="7"/>
        <v>0</v>
      </c>
      <c r="Q25" s="37">
        <f t="shared" si="7"/>
        <v>81</v>
      </c>
      <c r="R25" s="37">
        <f t="shared" si="7"/>
        <v>7677909</v>
      </c>
      <c r="S25" s="37">
        <f t="shared" si="7"/>
        <v>71709</v>
      </c>
      <c r="T25" s="37">
        <f t="shared" si="7"/>
        <v>0</v>
      </c>
      <c r="U25" s="37">
        <f t="shared" si="7"/>
        <v>71709</v>
      </c>
    </row>
  </sheetData>
  <mergeCells count="2">
    <mergeCell ref="B2:B3"/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1F73-E991-4B0A-964D-FAA9E39605CE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55</vt:i4>
      </vt:variant>
    </vt:vector>
  </HeadingPairs>
  <TitlesOfParts>
    <vt:vector size="65" baseType="lpstr">
      <vt:lpstr>SPP1</vt:lpstr>
      <vt:lpstr>SPP2</vt:lpstr>
      <vt:lpstr>SPP3</vt:lpstr>
      <vt:lpstr>SPM</vt:lpstr>
      <vt:lpstr>PERBEDAAN</vt:lpstr>
      <vt:lpstr>RINCIAN</vt:lpstr>
      <vt:lpstr>JML. PEG</vt:lpstr>
      <vt:lpstr>KUNCI</vt:lpstr>
      <vt:lpstr>ENTRI DATA</vt:lpstr>
      <vt:lpstr>DATA UMUM</vt:lpstr>
      <vt:lpstr>anak</vt:lpstr>
      <vt:lpstr>anak_C</vt:lpstr>
      <vt:lpstr>c_jukot</vt:lpstr>
      <vt:lpstr>dada</vt:lpstr>
      <vt:lpstr>dakung</vt:lpstr>
      <vt:lpstr>data</vt:lpstr>
      <vt:lpstr>g_gapok</vt:lpstr>
      <vt:lpstr>g_keluarga</vt:lpstr>
      <vt:lpstr>gajip</vt:lpstr>
      <vt:lpstr>gapok</vt:lpstr>
      <vt:lpstr>gapok_c</vt:lpstr>
      <vt:lpstr>gapokC</vt:lpstr>
      <vt:lpstr>gbul</vt:lpstr>
      <vt:lpstr>gol</vt:lpstr>
      <vt:lpstr>gol_C</vt:lpstr>
      <vt:lpstr>golC</vt:lpstr>
      <vt:lpstr>golong</vt:lpstr>
      <vt:lpstr>gpjak</vt:lpstr>
      <vt:lpstr>gtjab</vt:lpstr>
      <vt:lpstr>gtmum</vt:lpstr>
      <vt:lpstr>gtras</vt:lpstr>
      <vt:lpstr>hasil_kotor</vt:lpstr>
      <vt:lpstr>istri</vt:lpstr>
      <vt:lpstr>istri_C</vt:lpstr>
      <vt:lpstr>iwp</vt:lpstr>
      <vt:lpstr>iwpC1</vt:lpstr>
      <vt:lpstr>iwpc8</vt:lpstr>
      <vt:lpstr>iwpsen</vt:lpstr>
      <vt:lpstr>jml_diminta</vt:lpstr>
      <vt:lpstr>jml_kotor</vt:lpstr>
      <vt:lpstr>peg</vt:lpstr>
      <vt:lpstr>peg_c</vt:lpstr>
      <vt:lpstr>'JML. PEG'!Print_Area</vt:lpstr>
      <vt:lpstr>PERBEDAAN!Print_Area</vt:lpstr>
      <vt:lpstr>RINCIAN!Print_Area</vt:lpstr>
      <vt:lpstr>terss</vt:lpstr>
      <vt:lpstr>tuber</vt:lpstr>
      <vt:lpstr>tubul</vt:lpstr>
      <vt:lpstr>tufung</vt:lpstr>
      <vt:lpstr>tujak</vt:lpstr>
      <vt:lpstr>tumum</vt:lpstr>
      <vt:lpstr>tun_esel</vt:lpstr>
      <vt:lpstr>tuna</vt:lpstr>
      <vt:lpstr>tuna_c</vt:lpstr>
      <vt:lpstr>tunc_ber</vt:lpstr>
      <vt:lpstr>tunc_bulat</vt:lpstr>
      <vt:lpstr>tunc_esel</vt:lpstr>
      <vt:lpstr>tunc_fu</vt:lpstr>
      <vt:lpstr>tunc_paj</vt:lpstr>
      <vt:lpstr>tunc_um</vt:lpstr>
      <vt:lpstr>tunce_sus</vt:lpstr>
      <vt:lpstr>tunis</vt:lpstr>
      <vt:lpstr>tunis_C</vt:lpstr>
      <vt:lpstr>tusel</vt:lpstr>
      <vt:lpstr>tusus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 Agunadi</dc:creator>
  <cp:lastModifiedBy>Hardi Agunadi</cp:lastModifiedBy>
  <cp:lastPrinted>2025-04-21T01:46:12Z</cp:lastPrinted>
  <dcterms:created xsi:type="dcterms:W3CDTF">2025-02-20T04:01:16Z</dcterms:created>
  <dcterms:modified xsi:type="dcterms:W3CDTF">2025-04-21T01:46:14Z</dcterms:modified>
</cp:coreProperties>
</file>