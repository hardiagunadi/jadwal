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G:\My Drive\spp\Mei\"/>
    </mc:Choice>
  </mc:AlternateContent>
  <xr:revisionPtr revIDLastSave="0" documentId="8_{A2309602-0E01-48A1-87E4-59FE8A16A6D5}" xr6:coauthVersionLast="47" xr6:coauthVersionMax="47" xr10:uidLastSave="{00000000-0000-0000-0000-000000000000}"/>
  <bookViews>
    <workbookView xWindow="-110" yWindow="-110" windowWidth="19420" windowHeight="10420" tabRatio="500" activeTab="1"/>
  </bookViews>
  <sheets>
    <sheet name="BANK JATENG" sheetId="1" r:id="rId1"/>
    <sheet name="BAWON" sheetId="3" r:id="rId2"/>
    <sheet name="LAMPIRAN" sheetId="2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32" i="3" l="1"/>
  <c r="J33" i="3"/>
  <c r="J34" i="3"/>
  <c r="J35" i="3" s="1"/>
  <c r="D27" i="3" s="1"/>
  <c r="E11" i="2"/>
  <c r="G21" i="2"/>
  <c r="G20" i="2"/>
  <c r="F8" i="2"/>
  <c r="H8" i="2"/>
  <c r="G11" i="2"/>
  <c r="F9" i="2"/>
  <c r="H9" i="2"/>
  <c r="F10" i="2"/>
  <c r="H10" i="2"/>
  <c r="F7" i="2"/>
  <c r="H7" i="2"/>
  <c r="H11" i="2"/>
  <c r="J32" i="1"/>
  <c r="F11" i="2"/>
  <c r="J33" i="1"/>
  <c r="J34" i="1"/>
  <c r="D27" i="1"/>
</calcChain>
</file>

<file path=xl/sharedStrings.xml><?xml version="1.0" encoding="utf-8"?>
<sst xmlns="http://schemas.openxmlformats.org/spreadsheetml/2006/main" count="118" uniqueCount="72">
  <si>
    <t xml:space="preserve">Nomor     :  900/ </t>
  </si>
  <si>
    <t>Lampiran :  1 (satu) Lembar</t>
  </si>
  <si>
    <t>WONOSOBO</t>
  </si>
  <si>
    <t>Dengan hormat,</t>
  </si>
  <si>
    <t>untuk dipindahbukukan dari rekening gaji kami :</t>
  </si>
  <si>
    <t>Untuk dipindahkan kedalam rekening di bawah ini :</t>
  </si>
  <si>
    <t>No.</t>
  </si>
  <si>
    <t>NAMA  REK</t>
  </si>
  <si>
    <t>Nomor Rek</t>
  </si>
  <si>
    <t>KET</t>
  </si>
  <si>
    <t>Jumlah</t>
  </si>
  <si>
    <t xml:space="preserve">Apabila dikemudian hari terjadi kesalahan penyampaian data gaji pegawai, maka kami </t>
  </si>
  <si>
    <t>akan tanggung jawab atas kesalahan penyampaian data tersebut diatas</t>
  </si>
  <si>
    <t>Demikian yang dapat kami sampaikan, atas perhatiannya kami ucapkan terimakasih</t>
  </si>
  <si>
    <t>Mengetahui,</t>
  </si>
  <si>
    <t xml:space="preserve">Kabupaten Wonosobo  </t>
  </si>
  <si>
    <t>NO</t>
  </si>
  <si>
    <t>NAMA</t>
  </si>
  <si>
    <t>NO REKENING</t>
  </si>
  <si>
    <t>GAJI BRUTO</t>
  </si>
  <si>
    <t>POT LAINYA</t>
  </si>
  <si>
    <t>GAJI BERSIH</t>
  </si>
  <si>
    <t>BAZNAS</t>
  </si>
  <si>
    <t>Penyiap Dokumen Gaji</t>
  </si>
  <si>
    <t>di      -</t>
  </si>
  <si>
    <t>JUMLAH</t>
  </si>
  <si>
    <t>PEMERINTAH KABUPATEN WONOSOBO</t>
  </si>
  <si>
    <t>KECAMATAN WATUMALANG</t>
  </si>
  <si>
    <t>Telpon ( 0286 ) 3304957</t>
  </si>
  <si>
    <t>Laman: kecamatanwatumalang.wonosobokab.go.id</t>
  </si>
  <si>
    <t>SOLEH</t>
  </si>
  <si>
    <t>DKK  KORPRI</t>
  </si>
  <si>
    <t xml:space="preserve">KECAMATAN WATUMALANG </t>
  </si>
  <si>
    <t>9023999021</t>
  </si>
  <si>
    <t>2023062148</t>
  </si>
  <si>
    <t>RP/Gaji</t>
  </si>
  <si>
    <t>Bank Wonosobo</t>
  </si>
  <si>
    <t>NIP. 19710815 201212 1 001</t>
  </si>
  <si>
    <t>DAFTAR PENERIMAAN GAJI PPPK</t>
  </si>
  <si>
    <t xml:space="preserve">     Jalan Jebeng Lintang Nomor 29 Watumalang Wonosobo, Jawa Tengah, 56352</t>
  </si>
  <si>
    <r>
      <t xml:space="preserve">Pos-el </t>
    </r>
    <r>
      <rPr>
        <i/>
        <sz val="10"/>
        <color indexed="30"/>
        <rFont val="Times New Roman"/>
        <family val="1"/>
      </rPr>
      <t>watumalang08@gmail.com</t>
    </r>
  </si>
  <si>
    <t xml:space="preserve">Atas nama             : </t>
  </si>
  <si>
    <t>Bendahara Gaji Kantor Kecamatan Watumalang</t>
  </si>
  <si>
    <t xml:space="preserve">Jumlah                  : </t>
  </si>
  <si>
    <t>BULAN MEI 2025</t>
  </si>
  <si>
    <t xml:space="preserve">         Sehubungan  dengan pembayaran  gaji  PPPK bulan Mei 2025 bersama ini kami mohon</t>
  </si>
  <si>
    <t>Perihal     : Pemindahbukuan Gaji PPPK Bulan Mei 2025</t>
  </si>
  <si>
    <t>SUBUH ONI WIYONO, SE., MM.</t>
  </si>
  <si>
    <t>NIP. 19680331 199603 1 007</t>
  </si>
  <si>
    <t xml:space="preserve"> Plt.  Camat Watumalang</t>
  </si>
  <si>
    <t>Plt. Camat Watumalang</t>
  </si>
  <si>
    <t>Wonosobo, 21 Mei 2025</t>
  </si>
  <si>
    <t>YAN ASTUTI S.Si</t>
  </si>
  <si>
    <t>ROHMAT</t>
  </si>
  <si>
    <t>TRI SUPRIHATI</t>
  </si>
  <si>
    <t>SLAMET TURMUJIONO</t>
  </si>
  <si>
    <t>BANK PENERIMA</t>
  </si>
  <si>
    <t>10121700107</t>
  </si>
  <si>
    <t>10121700103</t>
  </si>
  <si>
    <t>10121700105</t>
  </si>
  <si>
    <t>10121700102</t>
  </si>
  <si>
    <t>PT BPR BANK WONOSOBO PERSERODA</t>
  </si>
  <si>
    <t>Yth. Direktur PT. BPR BANK WONOSOBO</t>
  </si>
  <si>
    <t>PERSERODA</t>
  </si>
  <si>
    <t>10020100947</t>
  </si>
  <si>
    <t>KORPRI KAB. WONOSOBO</t>
  </si>
  <si>
    <t>Gaji bersih masuk rek (daft terlamp)</t>
  </si>
  <si>
    <t xml:space="preserve">         Sehubungan  dengan pembayaran  gaji  PPPK bulan Juni 2025 bersama ini kami mohon</t>
  </si>
  <si>
    <t>Cabang Wonosobo</t>
  </si>
  <si>
    <t>Yth. Bpk Pimpinan Cabang BANK JATENG</t>
  </si>
  <si>
    <t>Perihal     : Pemindahbukuan Gaji PPPK Bulan Juni 2025</t>
  </si>
  <si>
    <t>Wonosobo, 26 Mei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</si>
</sst>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8" formatCode="_(* #,##0.00_);_(* \(#,##0.00\);_(* \-??_);_(@_)"/>
    <numFmt numFmtId="179" formatCode="_(* #,##0_);_(* \(#,##0\);_(* \-_);_(@_)"/>
    <numFmt numFmtId="180" formatCode="_([$Rp-421]* #,##0_);_([$Rp-421]* \(#,##0\);_([$Rp-421]* \-??_);_(@_)"/>
    <numFmt numFmtId="181" formatCode="_(* #,##0_);_(* \(#,##0\);_(* \-??_);_(@_)"/>
    <numFmt numFmtId="182" formatCode="_(* #,##0_);_(* \(#,##0\);_(* &quot;-&quot;??_);_(@_)"/>
  </numFmts>
  <fonts count="30">
    <font>
      <sz val="11"/>
      <color indexed="8"/>
      <name val="Calibri"/>
      <family val="2"/>
      <charset val="1"/>
    </font>
    <font>
      <sz val="11"/>
      <color indexed="8"/>
      <name val="Calibri"/>
      <family val="2"/>
    </font>
    <font>
      <sz val="10"/>
      <name val="Arial"/>
      <family val="2"/>
      <charset val="134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u/>
      <sz val="12"/>
      <color indexed="8"/>
      <name val="Times New Roman"/>
      <family val="1"/>
    </font>
    <font>
      <b/>
      <u/>
      <sz val="12"/>
      <color indexed="8"/>
      <name val="Times New Roman"/>
      <family val="1"/>
    </font>
    <font>
      <sz val="11"/>
      <color indexed="8"/>
      <name val="Calibri"/>
      <family val="2"/>
      <charset val="1"/>
    </font>
    <font>
      <sz val="12"/>
      <name val="Arial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color indexed="8"/>
      <name val="Times New Roman"/>
      <family val="1"/>
    </font>
    <font>
      <i/>
      <sz val="10"/>
      <color indexed="30"/>
      <name val="Times New Roman"/>
      <family val="1"/>
    </font>
    <font>
      <sz val="9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sz val="9"/>
      <name val="Times New Roman"/>
      <family val="1"/>
    </font>
    <font>
      <b/>
      <sz val="12"/>
      <color theme="1"/>
      <name val="Times New Roman"/>
      <family val="1"/>
    </font>
    <font>
      <b/>
      <u/>
      <sz val="14"/>
      <color rgb="FF000000"/>
      <name val="Arial"/>
      <family val="2"/>
    </font>
    <font>
      <sz val="14"/>
      <color theme="1"/>
      <name val="Times New Roman"/>
      <family val="1"/>
    </font>
    <font>
      <b/>
      <u/>
      <sz val="12"/>
      <color theme="1"/>
      <name val="Arial"/>
      <family val="2"/>
    </font>
    <font>
      <sz val="12"/>
      <color rgb="FF000000"/>
      <name val="Arial"/>
      <family val="2"/>
    </font>
    <font>
      <b/>
      <sz val="18"/>
      <color theme="1"/>
      <name val="Times New Roman"/>
      <family val="1"/>
    </font>
    <font>
      <sz val="10"/>
      <color theme="1"/>
      <name val="Times New Roman"/>
      <family val="1"/>
    </font>
    <font>
      <b/>
      <u/>
      <sz val="11"/>
      <color rgb="FF000000"/>
      <name val="Times New Roman"/>
      <family val="1"/>
    </font>
    <font>
      <u/>
      <sz val="11"/>
      <color theme="1"/>
      <name val="Times New Roman"/>
      <family val="1"/>
    </font>
    <font>
      <b/>
      <u/>
      <sz val="10"/>
      <color theme="1"/>
      <name val="Times New Roman"/>
      <family val="1"/>
    </font>
    <font>
      <b/>
      <u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/>
      <right/>
      <top style="thick">
        <color indexed="8"/>
      </top>
      <bottom style="medium">
        <color indexed="8"/>
      </bottom>
      <diagonal/>
    </border>
    <border>
      <left/>
      <right/>
      <top style="medium">
        <color indexed="8"/>
      </top>
      <bottom/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/>
      <right/>
      <top/>
      <bottom style="thick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9">
    <xf numFmtId="0" fontId="0" fillId="0" borderId="0"/>
    <xf numFmtId="178" fontId="8" fillId="0" borderId="0" applyFill="0" applyBorder="0" applyAlignment="0" applyProtection="0"/>
    <xf numFmtId="179" fontId="8" fillId="0" borderId="0" applyFill="0" applyBorder="0" applyAlignment="0" applyProtection="0"/>
    <xf numFmtId="179" fontId="8" fillId="0" borderId="0" applyFill="0" applyBorder="0" applyAlignment="0" applyProtection="0"/>
    <xf numFmtId="178" fontId="8" fillId="0" borderId="0" applyFill="0" applyBorder="0" applyAlignment="0" applyProtection="0"/>
    <xf numFmtId="0" fontId="1" fillId="0" borderId="0"/>
    <xf numFmtId="0" fontId="2" fillId="0" borderId="0">
      <alignment vertical="center"/>
    </xf>
    <xf numFmtId="0" fontId="1" fillId="0" borderId="0"/>
    <xf numFmtId="0" fontId="3" fillId="0" borderId="0"/>
  </cellStyleXfs>
  <cellXfs count="163">
    <xf numFmtId="0" fontId="0" fillId="0" borderId="0" xfId="0"/>
    <xf numFmtId="0" fontId="5" fillId="0" borderId="0" xfId="7" applyFont="1"/>
    <xf numFmtId="0" fontId="5" fillId="0" borderId="0" xfId="7" applyFont="1" applyBorder="1" applyAlignment="1">
      <alignment vertical="center"/>
    </xf>
    <xf numFmtId="0" fontId="5" fillId="0" borderId="0" xfId="7" applyFont="1" applyAlignment="1"/>
    <xf numFmtId="0" fontId="4" fillId="0" borderId="1" xfId="7" applyFont="1" applyBorder="1" applyAlignment="1">
      <alignment horizontal="center" vertical="center"/>
    </xf>
    <xf numFmtId="0" fontId="4" fillId="0" borderId="2" xfId="7" applyFont="1" applyFill="1" applyBorder="1" applyAlignment="1">
      <alignment horizontal="center" vertical="center"/>
    </xf>
    <xf numFmtId="180" fontId="19" fillId="0" borderId="0" xfId="1" applyNumberFormat="1" applyFont="1" applyFill="1" applyBorder="1" applyAlignment="1" applyProtection="1"/>
    <xf numFmtId="0" fontId="5" fillId="0" borderId="0" xfId="7" applyFont="1" applyBorder="1" applyAlignment="1">
      <alignment horizontal="left" indent="9"/>
    </xf>
    <xf numFmtId="0" fontId="5" fillId="0" borderId="0" xfId="7" applyFont="1" applyBorder="1" applyAlignment="1"/>
    <xf numFmtId="0" fontId="7" fillId="0" borderId="0" xfId="7" applyFont="1" applyBorder="1" applyAlignment="1"/>
    <xf numFmtId="0" fontId="4" fillId="0" borderId="0" xfId="7" applyFont="1" applyBorder="1" applyAlignment="1"/>
    <xf numFmtId="182" fontId="9" fillId="3" borderId="3" xfId="1" applyNumberFormat="1" applyFont="1" applyFill="1" applyBorder="1" applyAlignment="1">
      <alignment horizontal="center"/>
    </xf>
    <xf numFmtId="0" fontId="10" fillId="0" borderId="0" xfId="0" applyFont="1"/>
    <xf numFmtId="179" fontId="10" fillId="0" borderId="4" xfId="0" applyNumberFormat="1" applyFont="1" applyBorder="1"/>
    <xf numFmtId="179" fontId="10" fillId="0" borderId="1" xfId="0" applyNumberFormat="1" applyFont="1" applyBorder="1"/>
    <xf numFmtId="0" fontId="10" fillId="0" borderId="0" xfId="0" applyFont="1" applyBorder="1"/>
    <xf numFmtId="179" fontId="10" fillId="0" borderId="0" xfId="0" applyNumberFormat="1" applyFont="1" applyBorder="1"/>
    <xf numFmtId="0" fontId="10" fillId="0" borderId="0" xfId="0" applyFont="1" applyBorder="1" applyAlignment="1"/>
    <xf numFmtId="0" fontId="10" fillId="0" borderId="0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vertical="center"/>
    </xf>
    <xf numFmtId="0" fontId="11" fillId="0" borderId="0" xfId="0" applyFont="1"/>
    <xf numFmtId="0" fontId="11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/>
    </xf>
    <xf numFmtId="3" fontId="9" fillId="3" borderId="3" xfId="2" applyNumberFormat="1" applyFont="1" applyFill="1" applyBorder="1"/>
    <xf numFmtId="0" fontId="9" fillId="0" borderId="3" xfId="0" applyFont="1" applyFill="1" applyBorder="1"/>
    <xf numFmtId="3" fontId="9" fillId="0" borderId="3" xfId="2" applyNumberFormat="1" applyFont="1" applyFill="1" applyBorder="1"/>
    <xf numFmtId="179" fontId="11" fillId="0" borderId="3" xfId="0" applyNumberFormat="1" applyFont="1" applyBorder="1" applyAlignment="1">
      <alignment vertical="center"/>
    </xf>
    <xf numFmtId="0" fontId="11" fillId="0" borderId="0" xfId="0" applyFont="1" applyAlignment="1">
      <alignment vertical="center"/>
    </xf>
    <xf numFmtId="0" fontId="10" fillId="0" borderId="0" xfId="0" applyFont="1" applyAlignment="1">
      <alignment horizontal="center"/>
    </xf>
    <xf numFmtId="0" fontId="20" fillId="0" borderId="0" xfId="0" applyFont="1" applyBorder="1" applyAlignment="1">
      <alignment horizontal="center"/>
    </xf>
    <xf numFmtId="0" fontId="21" fillId="0" borderId="0" xfId="0" applyFont="1" applyAlignment="1">
      <alignment horizontal="left"/>
    </xf>
    <xf numFmtId="0" fontId="5" fillId="0" borderId="0" xfId="7" applyFont="1" applyBorder="1" applyAlignment="1">
      <alignment horizontal="left"/>
    </xf>
    <xf numFmtId="0" fontId="5" fillId="0" borderId="5" xfId="7" applyFont="1" applyBorder="1" applyAlignment="1">
      <alignment horizontal="left"/>
    </xf>
    <xf numFmtId="0" fontId="22" fillId="0" borderId="0" xfId="0" applyFont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9" fillId="3" borderId="3" xfId="0" applyFont="1" applyFill="1" applyBorder="1" applyAlignment="1">
      <alignment vertical="center"/>
    </xf>
    <xf numFmtId="3" fontId="9" fillId="3" borderId="6" xfId="2" applyNumberFormat="1" applyFont="1" applyFill="1" applyBorder="1" applyAlignment="1">
      <alignment vertical="center"/>
    </xf>
    <xf numFmtId="179" fontId="10" fillId="0" borderId="4" xfId="0" applyNumberFormat="1" applyFont="1" applyBorder="1" applyAlignment="1">
      <alignment vertical="center"/>
    </xf>
    <xf numFmtId="182" fontId="9" fillId="3" borderId="3" xfId="1" applyNumberFormat="1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vertical="center"/>
    </xf>
    <xf numFmtId="0" fontId="23" fillId="3" borderId="3" xfId="0" applyFont="1" applyFill="1" applyBorder="1" applyAlignment="1">
      <alignment vertical="center"/>
    </xf>
    <xf numFmtId="0" fontId="21" fillId="0" borderId="0" xfId="0" applyFont="1" applyAlignment="1">
      <alignment vertical="center"/>
    </xf>
    <xf numFmtId="0" fontId="12" fillId="0" borderId="0" xfId="0" applyFont="1"/>
    <xf numFmtId="0" fontId="24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0" fontId="12" fillId="0" borderId="0" xfId="7" applyFont="1"/>
    <xf numFmtId="3" fontId="12" fillId="0" borderId="0" xfId="7" applyNumberFormat="1" applyFont="1"/>
    <xf numFmtId="181" fontId="14" fillId="0" borderId="0" xfId="1" applyNumberFormat="1" applyFont="1" applyFill="1" applyBorder="1" applyAlignment="1" applyProtection="1"/>
    <xf numFmtId="0" fontId="12" fillId="0" borderId="0" xfId="7" applyFont="1" applyAlignment="1">
      <alignment vertical="center"/>
    </xf>
    <xf numFmtId="179" fontId="14" fillId="0" borderId="0" xfId="2" applyFont="1" applyFill="1" applyBorder="1" applyAlignment="1" applyProtection="1">
      <alignment vertical="center"/>
    </xf>
    <xf numFmtId="3" fontId="12" fillId="0" borderId="0" xfId="7" applyNumberFormat="1" applyFont="1" applyAlignment="1">
      <alignment vertical="center"/>
    </xf>
    <xf numFmtId="181" fontId="14" fillId="0" borderId="0" xfId="1" applyNumberFormat="1" applyFont="1" applyFill="1" applyBorder="1" applyAlignment="1" applyProtection="1">
      <alignment vertical="center"/>
    </xf>
    <xf numFmtId="0" fontId="12" fillId="0" borderId="0" xfId="7" applyFont="1" applyBorder="1"/>
    <xf numFmtId="181" fontId="12" fillId="0" borderId="0" xfId="7" applyNumberFormat="1" applyFont="1"/>
    <xf numFmtId="0" fontId="16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26" fillId="0" borderId="0" xfId="0" applyFont="1" applyBorder="1" applyAlignment="1">
      <alignment horizontal="center"/>
    </xf>
    <xf numFmtId="0" fontId="27" fillId="0" borderId="0" xfId="0" applyFont="1" applyAlignment="1">
      <alignment horizontal="center"/>
    </xf>
    <xf numFmtId="0" fontId="9" fillId="3" borderId="3" xfId="2" quotePrefix="1" applyNumberFormat="1" applyFont="1" applyFill="1" applyBorder="1" applyAlignment="1">
      <alignment horizontal="center" vertical="center"/>
    </xf>
    <xf numFmtId="0" fontId="9" fillId="3" borderId="7" xfId="2" quotePrefix="1" applyNumberFormat="1" applyFont="1" applyFill="1" applyBorder="1" applyAlignment="1">
      <alignment horizontal="center"/>
    </xf>
    <xf numFmtId="0" fontId="4" fillId="0" borderId="2" xfId="7" applyFont="1" applyBorder="1" applyAlignment="1">
      <alignment horizontal="center" vertical="center"/>
    </xf>
    <xf numFmtId="0" fontId="5" fillId="0" borderId="0" xfId="7" applyFont="1" applyBorder="1" applyAlignment="1">
      <alignment horizontal="left" wrapText="1"/>
    </xf>
    <xf numFmtId="0" fontId="25" fillId="0" borderId="0" xfId="0" applyFont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12" fillId="0" borderId="2" xfId="7" applyFont="1" applyBorder="1" applyAlignment="1">
      <alignment horizontal="center"/>
    </xf>
    <xf numFmtId="0" fontId="4" fillId="0" borderId="12" xfId="7" applyFont="1" applyBorder="1" applyAlignment="1">
      <alignment horizontal="center" vertical="center"/>
    </xf>
    <xf numFmtId="0" fontId="4" fillId="0" borderId="13" xfId="7" applyFont="1" applyBorder="1" applyAlignment="1">
      <alignment horizontal="center" vertical="center"/>
    </xf>
    <xf numFmtId="0" fontId="4" fillId="0" borderId="14" xfId="7" applyFont="1" applyBorder="1" applyAlignment="1">
      <alignment horizontal="center" vertical="center"/>
    </xf>
    <xf numFmtId="0" fontId="4" fillId="0" borderId="15" xfId="7" applyFont="1" applyBorder="1" applyAlignment="1">
      <alignment horizontal="center" vertical="center"/>
    </xf>
    <xf numFmtId="3" fontId="5" fillId="0" borderId="24" xfId="7" applyNumberFormat="1" applyFont="1" applyBorder="1" applyAlignment="1">
      <alignment horizontal="right"/>
    </xf>
    <xf numFmtId="3" fontId="5" fillId="0" borderId="4" xfId="7" applyNumberFormat="1" applyFont="1" applyBorder="1" applyAlignment="1">
      <alignment horizontal="right"/>
    </xf>
    <xf numFmtId="3" fontId="5" fillId="0" borderId="7" xfId="7" applyNumberFormat="1" applyFont="1" applyBorder="1" applyAlignment="1">
      <alignment horizontal="center"/>
    </xf>
    <xf numFmtId="3" fontId="5" fillId="0" borderId="6" xfId="7" applyNumberFormat="1" applyFont="1" applyBorder="1" applyAlignment="1">
      <alignment horizontal="center"/>
    </xf>
    <xf numFmtId="0" fontId="5" fillId="0" borderId="0" xfId="7" applyFont="1" applyBorder="1" applyAlignment="1">
      <alignment horizontal="center" vertical="center"/>
    </xf>
    <xf numFmtId="0" fontId="5" fillId="0" borderId="0" xfId="7" applyFont="1" applyBorder="1" applyAlignment="1">
      <alignment vertical="center"/>
    </xf>
    <xf numFmtId="0" fontId="4" fillId="0" borderId="0" xfId="7" applyFont="1" applyBorder="1" applyAlignment="1">
      <alignment horizontal="left" vertical="center"/>
    </xf>
    <xf numFmtId="0" fontId="5" fillId="0" borderId="8" xfId="7" applyFont="1" applyBorder="1" applyAlignment="1">
      <alignment horizontal="left" wrapText="1"/>
    </xf>
    <xf numFmtId="0" fontId="5" fillId="0" borderId="9" xfId="7" applyFont="1" applyBorder="1" applyAlignment="1">
      <alignment horizontal="left" wrapText="1"/>
    </xf>
    <xf numFmtId="0" fontId="5" fillId="0" borderId="4" xfId="7" applyFont="1" applyBorder="1" applyAlignment="1">
      <alignment horizontal="left" wrapText="1"/>
    </xf>
    <xf numFmtId="179" fontId="12" fillId="0" borderId="8" xfId="2" quotePrefix="1" applyFont="1" applyBorder="1" applyAlignment="1">
      <alignment horizontal="center"/>
    </xf>
    <xf numFmtId="179" fontId="12" fillId="0" borderId="20" xfId="2" quotePrefix="1" applyFont="1" applyBorder="1" applyAlignment="1">
      <alignment horizontal="center"/>
    </xf>
    <xf numFmtId="0" fontId="4" fillId="0" borderId="21" xfId="7" applyFont="1" applyBorder="1" applyAlignment="1">
      <alignment horizontal="center" vertical="center"/>
    </xf>
    <xf numFmtId="0" fontId="4" fillId="0" borderId="22" xfId="7" applyFont="1" applyBorder="1" applyAlignment="1">
      <alignment horizontal="center" vertical="center"/>
    </xf>
    <xf numFmtId="0" fontId="5" fillId="0" borderId="8" xfId="7" applyFont="1" applyBorder="1" applyAlignment="1">
      <alignment horizontal="left"/>
    </xf>
    <xf numFmtId="0" fontId="5" fillId="0" borderId="9" xfId="7" applyFont="1" applyBorder="1" applyAlignment="1">
      <alignment horizontal="left"/>
    </xf>
    <xf numFmtId="0" fontId="5" fillId="0" borderId="4" xfId="7" applyFont="1" applyBorder="1" applyAlignment="1">
      <alignment horizontal="left"/>
    </xf>
    <xf numFmtId="3" fontId="15" fillId="0" borderId="8" xfId="7" applyNumberFormat="1" applyFont="1" applyBorder="1" applyAlignment="1">
      <alignment horizontal="right" vertical="center"/>
    </xf>
    <xf numFmtId="3" fontId="15" fillId="0" borderId="4" xfId="7" applyNumberFormat="1" applyFont="1" applyBorder="1" applyAlignment="1">
      <alignment horizontal="right" vertical="center"/>
    </xf>
    <xf numFmtId="179" fontId="12" fillId="0" borderId="4" xfId="2" quotePrefix="1" applyFont="1" applyBorder="1" applyAlignment="1">
      <alignment horizontal="center"/>
    </xf>
    <xf numFmtId="0" fontId="5" fillId="0" borderId="0" xfId="7" applyFont="1" applyBorder="1" applyAlignment="1">
      <alignment horizontal="center"/>
    </xf>
    <xf numFmtId="0" fontId="12" fillId="0" borderId="0" xfId="7" applyFont="1" applyBorder="1" applyAlignment="1">
      <alignment horizontal="center"/>
    </xf>
    <xf numFmtId="3" fontId="12" fillId="0" borderId="0" xfId="7" applyNumberFormat="1" applyFont="1" applyBorder="1" applyAlignment="1">
      <alignment horizontal="center"/>
    </xf>
    <xf numFmtId="0" fontId="5" fillId="0" borderId="0" xfId="7" applyFont="1" applyBorder="1" applyAlignment="1">
      <alignment horizontal="left" indent="8"/>
    </xf>
    <xf numFmtId="0" fontId="12" fillId="2" borderId="18" xfId="7" applyFont="1" applyFill="1" applyBorder="1" applyAlignment="1">
      <alignment horizontal="center"/>
    </xf>
    <xf numFmtId="0" fontId="12" fillId="0" borderId="19" xfId="7" applyFont="1" applyBorder="1" applyAlignment="1">
      <alignment horizontal="center"/>
    </xf>
    <xf numFmtId="0" fontId="5" fillId="0" borderId="0" xfId="7" applyFont="1" applyBorder="1" applyAlignment="1">
      <alignment horizontal="left"/>
    </xf>
    <xf numFmtId="0" fontId="5" fillId="0" borderId="0" xfId="7" applyFont="1" applyBorder="1" applyAlignment="1">
      <alignment horizontal="left" vertical="center" indent="10"/>
    </xf>
    <xf numFmtId="0" fontId="5" fillId="0" borderId="0" xfId="7" applyFont="1" applyBorder="1" applyAlignment="1"/>
    <xf numFmtId="0" fontId="7" fillId="0" borderId="0" xfId="7" applyFont="1" applyBorder="1" applyAlignment="1">
      <alignment horizontal="center"/>
    </xf>
    <xf numFmtId="0" fontId="4" fillId="0" borderId="2" xfId="7" applyFont="1" applyBorder="1" applyAlignment="1">
      <alignment horizontal="center" vertical="center"/>
    </xf>
    <xf numFmtId="0" fontId="4" fillId="0" borderId="5" xfId="7" applyFont="1" applyBorder="1" applyAlignment="1">
      <alignment horizontal="center" vertical="center"/>
    </xf>
    <xf numFmtId="3" fontId="5" fillId="0" borderId="16" xfId="7" applyNumberFormat="1" applyFont="1" applyBorder="1" applyAlignment="1">
      <alignment horizontal="center"/>
    </xf>
    <xf numFmtId="3" fontId="5" fillId="0" borderId="17" xfId="7" applyNumberFormat="1" applyFont="1" applyBorder="1" applyAlignment="1">
      <alignment horizontal="center"/>
    </xf>
    <xf numFmtId="0" fontId="5" fillId="0" borderId="0" xfId="7" applyFont="1" applyAlignment="1">
      <alignment horizontal="center"/>
    </xf>
    <xf numFmtId="0" fontId="4" fillId="0" borderId="8" xfId="7" applyFont="1" applyBorder="1" applyAlignment="1">
      <alignment horizontal="center" vertical="center"/>
    </xf>
    <xf numFmtId="0" fontId="4" fillId="0" borderId="9" xfId="7" applyFont="1" applyBorder="1" applyAlignment="1">
      <alignment horizontal="center" vertical="center"/>
    </xf>
    <xf numFmtId="0" fontId="4" fillId="0" borderId="4" xfId="7" applyFont="1" applyBorder="1" applyAlignment="1">
      <alignment horizontal="center" vertical="center"/>
    </xf>
    <xf numFmtId="0" fontId="12" fillId="0" borderId="8" xfId="7" applyFont="1" applyBorder="1" applyAlignment="1">
      <alignment horizontal="center" vertical="center"/>
    </xf>
    <xf numFmtId="0" fontId="12" fillId="0" borderId="4" xfId="7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3" fontId="5" fillId="0" borderId="8" xfId="7" applyNumberFormat="1" applyFont="1" applyBorder="1" applyAlignment="1">
      <alignment horizontal="right"/>
    </xf>
    <xf numFmtId="0" fontId="5" fillId="0" borderId="0" xfId="7" applyFont="1" applyBorder="1" applyAlignment="1">
      <alignment horizontal="right"/>
    </xf>
    <xf numFmtId="0" fontId="4" fillId="0" borderId="10" xfId="7" applyFont="1" applyBorder="1" applyAlignment="1">
      <alignment horizontal="center" vertical="center"/>
    </xf>
    <xf numFmtId="0" fontId="4" fillId="0" borderId="11" xfId="7" applyFont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0" fontId="26" fillId="0" borderId="0" xfId="0" applyFont="1" applyBorder="1" applyAlignment="1">
      <alignment horizontal="center"/>
    </xf>
    <xf numFmtId="0" fontId="6" fillId="0" borderId="0" xfId="7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11" fillId="0" borderId="8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11" fillId="0" borderId="21" xfId="0" applyFont="1" applyBorder="1" applyAlignment="1">
      <alignment horizontal="center" vertical="center" wrapText="1"/>
    </xf>
    <xf numFmtId="0" fontId="11" fillId="0" borderId="26" xfId="0" applyFont="1" applyBorder="1" applyAlignment="1">
      <alignment horizontal="center" vertical="center" wrapText="1"/>
    </xf>
    <xf numFmtId="0" fontId="11" fillId="0" borderId="27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26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0" fontId="6" fillId="0" borderId="0" xfId="7" applyFont="1" applyAlignment="1">
      <alignment horizontal="center"/>
    </xf>
    <xf numFmtId="0" fontId="5" fillId="0" borderId="0" xfId="7" applyFont="1" applyAlignment="1">
      <alignment horizontal="left" indent="8"/>
    </xf>
    <xf numFmtId="0" fontId="5" fillId="0" borderId="0" xfId="7" applyFont="1" applyAlignment="1">
      <alignment horizontal="left"/>
    </xf>
    <xf numFmtId="3" fontId="12" fillId="0" borderId="0" xfId="7" applyNumberFormat="1" applyFont="1" applyAlignment="1">
      <alignment horizontal="center"/>
    </xf>
    <xf numFmtId="0" fontId="12" fillId="0" borderId="0" xfId="7" applyFont="1" applyAlignment="1">
      <alignment horizontal="center"/>
    </xf>
    <xf numFmtId="0" fontId="4" fillId="0" borderId="0" xfId="7" applyFont="1" applyAlignment="1">
      <alignment horizontal="left" vertical="center"/>
    </xf>
    <xf numFmtId="179" fontId="12" fillId="0" borderId="4" xfId="2" applyFont="1" applyBorder="1" applyAlignment="1">
      <alignment horizontal="right"/>
    </xf>
    <xf numFmtId="179" fontId="12" fillId="0" borderId="8" xfId="2" applyFont="1" applyBorder="1" applyAlignment="1">
      <alignment horizontal="right"/>
    </xf>
    <xf numFmtId="3" fontId="5" fillId="0" borderId="4" xfId="7" applyNumberFormat="1" applyFont="1" applyBorder="1" applyAlignment="1">
      <alignment horizontal="center"/>
    </xf>
    <xf numFmtId="3" fontId="5" fillId="0" borderId="8" xfId="7" applyNumberFormat="1" applyFont="1" applyBorder="1" applyAlignment="1">
      <alignment horizontal="center"/>
    </xf>
    <xf numFmtId="0" fontId="5" fillId="0" borderId="0" xfId="7" applyFont="1" applyAlignment="1">
      <alignment horizontal="left"/>
    </xf>
    <xf numFmtId="0" fontId="5" fillId="0" borderId="0" xfId="7" applyFont="1" applyAlignment="1">
      <alignment vertical="center"/>
    </xf>
    <xf numFmtId="0" fontId="5" fillId="0" borderId="0" xfId="7" applyFont="1" applyAlignment="1">
      <alignment vertical="center"/>
    </xf>
    <xf numFmtId="0" fontId="5" fillId="0" borderId="0" xfId="7" applyFont="1" applyAlignment="1">
      <alignment horizontal="center" vertical="center"/>
    </xf>
    <xf numFmtId="0" fontId="5" fillId="0" borderId="0" xfId="7" applyFont="1" applyAlignment="1">
      <alignment horizontal="left" vertical="center" indent="10"/>
    </xf>
    <xf numFmtId="0" fontId="7" fillId="0" borderId="0" xfId="7" applyFont="1"/>
    <xf numFmtId="0" fontId="4" fillId="0" borderId="0" xfId="7" applyFont="1"/>
    <xf numFmtId="0" fontId="7" fillId="0" borderId="0" xfId="7" applyFont="1" applyAlignment="1">
      <alignment horizontal="center"/>
    </xf>
    <xf numFmtId="0" fontId="5" fillId="0" borderId="0" xfId="7" applyFont="1" applyAlignment="1">
      <alignment horizontal="left" indent="9"/>
    </xf>
    <xf numFmtId="0" fontId="5" fillId="0" borderId="0" xfId="7" applyFont="1"/>
    <xf numFmtId="0" fontId="5" fillId="0" borderId="0" xfId="7" applyFont="1" applyAlignment="1">
      <alignment horizontal="left" wrapText="1"/>
    </xf>
    <xf numFmtId="0" fontId="5" fillId="0" borderId="0" xfId="7" applyFont="1" applyAlignment="1">
      <alignment horizontal="right"/>
    </xf>
  </cellXfs>
  <cellStyles count="9">
    <cellStyle name="Comma" xfId="1" builtinId="3"/>
    <cellStyle name="Comma [0]" xfId="2" builtinId="6"/>
    <cellStyle name="Comma [0] 2" xfId="3"/>
    <cellStyle name="Comma 2" xfId="4"/>
    <cellStyle name="Normal" xfId="0" builtinId="0"/>
    <cellStyle name="Normal 2" xfId="5"/>
    <cellStyle name="Normal 2 2" xfId="6"/>
    <cellStyle name="Normal 2 3" xfId="7"/>
    <cellStyle name="Normal 3" xf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641350</xdr:colOff>
      <xdr:row>4</xdr:row>
      <xdr:rowOff>171450</xdr:rowOff>
    </xdr:to>
    <xdr:pic>
      <xdr:nvPicPr>
        <xdr:cNvPr id="7237" name="image1.png">
          <a:extLst>
            <a:ext uri="{FF2B5EF4-FFF2-40B4-BE49-F238E27FC236}">
              <a16:creationId xmlns:a16="http://schemas.microsoft.com/office/drawing/2014/main" id="{2733B067-3100-4DFB-AE08-9E09FC87FE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1041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641350</xdr:colOff>
      <xdr:row>4</xdr:row>
      <xdr:rowOff>171450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64A8361D-CCC0-4C93-9620-EC8089EF6E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282700" cy="908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emindahbukuan%20%20gaji%20PPPK%20Mei%20-%20Baru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PRINT"/>
    </sheetNames>
    <sheetDataSet>
      <sheetData sheetId="0">
        <row r="11">
          <cell r="F11">
            <v>324200</v>
          </cell>
          <cell r="G11">
            <v>0</v>
          </cell>
          <cell r="H11">
            <v>12643800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topLeftCell="A4" zoomScale="115" zoomScaleNormal="115" zoomScaleSheetLayoutView="100" workbookViewId="0">
      <selection activeCell="A23" sqref="A23:K23"/>
    </sheetView>
  </sheetViews>
  <sheetFormatPr defaultColWidth="9.1796875" defaultRowHeight="14"/>
  <cols>
    <col min="1" max="1" width="7.1796875" style="46" customWidth="1"/>
    <col min="2" max="2" width="9.1796875" style="46" customWidth="1"/>
    <col min="3" max="3" width="2.453125" style="46" customWidth="1"/>
    <col min="4" max="4" width="16.81640625" style="46" customWidth="1"/>
    <col min="5" max="5" width="7.54296875" style="46" customWidth="1"/>
    <col min="6" max="6" width="7.7265625" style="46" customWidth="1"/>
    <col min="7" max="7" width="7.54296875" style="46" customWidth="1"/>
    <col min="8" max="8" width="6.81640625" style="46" customWidth="1"/>
    <col min="9" max="9" width="10.1796875" style="46" customWidth="1"/>
    <col min="10" max="10" width="9.1796875" style="46" customWidth="1"/>
    <col min="11" max="11" width="9" style="46" customWidth="1"/>
    <col min="12" max="12" width="9.1796875" style="46" customWidth="1"/>
    <col min="13" max="13" width="11.81640625" style="46" customWidth="1"/>
    <col min="14" max="14" width="11.1796875" style="46" customWidth="1"/>
    <col min="15" max="15" width="11.7265625" style="46" customWidth="1"/>
    <col min="16" max="16384" width="9.1796875" style="46"/>
  </cols>
  <sheetData>
    <row r="1" spans="1:13" s="43" customFormat="1" ht="18">
      <c r="A1" s="111" t="s">
        <v>26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42"/>
      <c r="M1" s="42"/>
    </row>
    <row r="2" spans="1:13" s="43" customFormat="1" ht="22.5">
      <c r="A2" s="112" t="s">
        <v>27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44"/>
      <c r="M2" s="44"/>
    </row>
    <row r="3" spans="1:13" s="43" customFormat="1">
      <c r="A3" s="64" t="s">
        <v>39</v>
      </c>
      <c r="B3" s="64"/>
      <c r="C3" s="64"/>
      <c r="D3" s="64"/>
      <c r="E3" s="64"/>
      <c r="F3" s="64"/>
      <c r="G3" s="64"/>
      <c r="H3" s="64"/>
      <c r="I3" s="64"/>
      <c r="J3" s="64"/>
      <c r="K3" s="64"/>
      <c r="L3" s="45"/>
      <c r="M3" s="45"/>
    </row>
    <row r="4" spans="1:13" s="43" customFormat="1">
      <c r="A4" s="64" t="s">
        <v>28</v>
      </c>
      <c r="B4" s="64"/>
      <c r="C4" s="64"/>
      <c r="D4" s="64"/>
      <c r="E4" s="64"/>
      <c r="F4" s="64"/>
      <c r="G4" s="64"/>
      <c r="H4" s="64"/>
      <c r="I4" s="64"/>
      <c r="J4" s="64"/>
      <c r="K4" s="64"/>
      <c r="L4" s="45"/>
      <c r="M4" s="45"/>
    </row>
    <row r="5" spans="1:13" s="43" customFormat="1">
      <c r="A5" s="64" t="s">
        <v>29</v>
      </c>
      <c r="B5" s="64"/>
      <c r="C5" s="64"/>
      <c r="D5" s="64"/>
      <c r="E5" s="64"/>
      <c r="F5" s="64"/>
      <c r="G5" s="64"/>
      <c r="H5" s="64"/>
      <c r="I5" s="64"/>
      <c r="J5" s="64"/>
      <c r="K5" s="64"/>
      <c r="L5" s="45"/>
      <c r="M5" s="45"/>
    </row>
    <row r="6" spans="1:13" s="43" customFormat="1" ht="14.5" thickBot="1">
      <c r="A6" s="65" t="s">
        <v>40</v>
      </c>
      <c r="B6" s="65"/>
      <c r="C6" s="65"/>
      <c r="D6" s="65"/>
      <c r="E6" s="65"/>
      <c r="F6" s="65"/>
      <c r="G6" s="65"/>
      <c r="H6" s="65"/>
      <c r="I6" s="65"/>
      <c r="J6" s="65"/>
      <c r="K6" s="65"/>
      <c r="L6" s="45"/>
      <c r="M6" s="45"/>
    </row>
    <row r="7" spans="1:13" ht="3.75" customHeight="1" thickTop="1" thickBot="1">
      <c r="A7" s="95"/>
      <c r="B7" s="95"/>
      <c r="C7" s="95"/>
      <c r="D7" s="95"/>
      <c r="E7" s="95"/>
      <c r="F7" s="95"/>
      <c r="G7" s="95"/>
      <c r="H7" s="95"/>
      <c r="I7" s="95"/>
      <c r="J7" s="95"/>
      <c r="K7" s="95"/>
    </row>
    <row r="8" spans="1:13" ht="3" customHeight="1">
      <c r="A8" s="96"/>
      <c r="B8" s="96"/>
      <c r="C8" s="96"/>
      <c r="D8" s="96"/>
      <c r="E8" s="96"/>
      <c r="F8" s="96"/>
      <c r="G8" s="96"/>
      <c r="H8" s="96"/>
      <c r="I8" s="96"/>
      <c r="J8" s="96"/>
      <c r="K8" s="96"/>
    </row>
    <row r="9" spans="1:13" ht="15.5">
      <c r="G9" s="8"/>
      <c r="H9" s="114" t="s">
        <v>51</v>
      </c>
      <c r="I9" s="114"/>
      <c r="J9" s="114"/>
      <c r="K9" s="114"/>
    </row>
    <row r="11" spans="1:13" ht="15.5">
      <c r="A11" s="97" t="s">
        <v>0</v>
      </c>
      <c r="B11" s="97"/>
      <c r="C11" s="97"/>
      <c r="D11" s="97"/>
      <c r="E11" s="97"/>
      <c r="F11" s="97"/>
      <c r="G11" s="8"/>
      <c r="H11" s="8"/>
      <c r="I11" s="8"/>
      <c r="J11" s="8"/>
      <c r="K11" s="8"/>
    </row>
    <row r="12" spans="1:13" ht="15.5">
      <c r="A12" s="97" t="s">
        <v>1</v>
      </c>
      <c r="B12" s="97"/>
      <c r="C12" s="97"/>
      <c r="D12" s="97"/>
      <c r="E12" s="97"/>
      <c r="F12" s="97"/>
      <c r="G12" s="8"/>
      <c r="H12" s="8"/>
      <c r="I12" s="8"/>
      <c r="J12" s="8"/>
      <c r="K12" s="8"/>
    </row>
    <row r="13" spans="1:13" ht="15.5" customHeight="1">
      <c r="A13" s="63" t="s">
        <v>46</v>
      </c>
      <c r="B13" s="63"/>
      <c r="C13" s="63"/>
      <c r="D13" s="63"/>
      <c r="E13" s="63"/>
      <c r="F13" s="63"/>
      <c r="G13" s="63"/>
      <c r="H13" s="63"/>
      <c r="I13" s="8"/>
      <c r="J13" s="8"/>
      <c r="K13" s="8"/>
    </row>
    <row r="14" spans="1:13" ht="15.5">
      <c r="G14" s="8"/>
      <c r="H14" s="8"/>
      <c r="I14" s="8"/>
      <c r="J14" s="8"/>
      <c r="K14" s="8"/>
    </row>
    <row r="15" spans="1:13" ht="15.5">
      <c r="A15" s="99" t="s">
        <v>62</v>
      </c>
      <c r="B15" s="99"/>
      <c r="C15" s="99"/>
      <c r="D15" s="99"/>
      <c r="E15" s="99"/>
      <c r="F15" s="99"/>
      <c r="G15" s="7"/>
      <c r="H15" s="7"/>
      <c r="I15" s="7"/>
      <c r="J15" s="7"/>
      <c r="K15" s="7"/>
    </row>
    <row r="16" spans="1:13" ht="15.5">
      <c r="A16" s="99" t="s">
        <v>63</v>
      </c>
      <c r="B16" s="99"/>
      <c r="C16" s="99"/>
      <c r="D16" s="99"/>
      <c r="E16" s="99"/>
      <c r="F16" s="99"/>
      <c r="G16" s="7"/>
      <c r="H16" s="7"/>
      <c r="I16" s="7"/>
      <c r="J16" s="7"/>
      <c r="K16" s="7"/>
    </row>
    <row r="17" spans="1:15" ht="15.5">
      <c r="A17" s="99" t="s">
        <v>24</v>
      </c>
      <c r="B17" s="99"/>
      <c r="C17" s="99"/>
      <c r="D17" s="99"/>
      <c r="E17" s="99"/>
      <c r="F17" s="99"/>
      <c r="G17" s="7"/>
      <c r="H17" s="7"/>
      <c r="I17" s="7"/>
      <c r="J17" s="7"/>
      <c r="K17" s="7"/>
    </row>
    <row r="18" spans="1:15" ht="15.5">
      <c r="A18" s="9"/>
      <c r="B18" s="100" t="s">
        <v>2</v>
      </c>
      <c r="C18" s="100"/>
      <c r="D18" s="100"/>
      <c r="E18" s="10"/>
      <c r="F18" s="10"/>
      <c r="G18" s="8"/>
      <c r="H18" s="8"/>
      <c r="I18" s="8"/>
      <c r="J18" s="8"/>
      <c r="K18" s="8"/>
    </row>
    <row r="19" spans="1:15" ht="15">
      <c r="G19" s="9"/>
      <c r="H19" s="9"/>
      <c r="I19" s="9"/>
      <c r="J19" s="9"/>
      <c r="K19" s="9"/>
    </row>
    <row r="21" spans="1:15" ht="15.5">
      <c r="A21" s="98" t="s">
        <v>3</v>
      </c>
      <c r="B21" s="98"/>
      <c r="C21" s="98"/>
      <c r="D21" s="98"/>
      <c r="E21" s="98"/>
      <c r="F21" s="1"/>
      <c r="G21" s="1"/>
      <c r="H21" s="1"/>
      <c r="I21" s="1"/>
      <c r="J21" s="1"/>
      <c r="K21" s="1"/>
    </row>
    <row r="22" spans="1:15" ht="15.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5" ht="15.5">
      <c r="A23" s="75" t="s">
        <v>45</v>
      </c>
      <c r="B23" s="75"/>
      <c r="C23" s="75"/>
      <c r="D23" s="75"/>
      <c r="E23" s="75"/>
      <c r="F23" s="75"/>
      <c r="G23" s="75"/>
      <c r="H23" s="75"/>
      <c r="I23" s="75"/>
      <c r="J23" s="75"/>
      <c r="K23" s="75"/>
      <c r="L23" s="2"/>
    </row>
    <row r="24" spans="1:15" ht="15.5">
      <c r="A24" s="2" t="s">
        <v>4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 spans="1:15" ht="15.5">
      <c r="A25" s="76"/>
      <c r="B25" s="76"/>
      <c r="C25" s="76"/>
      <c r="D25" s="76"/>
      <c r="E25" s="76"/>
      <c r="F25" s="76"/>
      <c r="G25" s="76"/>
      <c r="H25" s="76"/>
      <c r="I25" s="76"/>
      <c r="J25" s="76"/>
      <c r="K25" s="76"/>
    </row>
    <row r="26" spans="1:15" ht="15.5">
      <c r="A26" s="8" t="s">
        <v>41</v>
      </c>
      <c r="B26" s="8"/>
      <c r="C26" s="8"/>
      <c r="D26" s="8" t="s">
        <v>42</v>
      </c>
      <c r="E26" s="8"/>
      <c r="F26" s="8"/>
      <c r="G26" s="8"/>
      <c r="H26" s="8"/>
      <c r="I26" s="8"/>
      <c r="J26" s="8"/>
      <c r="K26" s="8"/>
    </row>
    <row r="27" spans="1:15" ht="15.5">
      <c r="A27" s="3" t="s">
        <v>43</v>
      </c>
      <c r="B27" s="3"/>
      <c r="C27" s="3"/>
      <c r="D27" s="6">
        <f>J34</f>
        <v>12968000</v>
      </c>
      <c r="E27" s="3"/>
      <c r="F27" s="3"/>
      <c r="G27" s="3"/>
      <c r="H27" s="3"/>
      <c r="I27" s="3"/>
      <c r="J27" s="3"/>
      <c r="K27" s="3"/>
    </row>
    <row r="28" spans="1:15" ht="15.5">
      <c r="A28" s="97" t="s">
        <v>5</v>
      </c>
      <c r="B28" s="97"/>
      <c r="C28" s="97"/>
      <c r="D28" s="97"/>
      <c r="E28" s="97"/>
      <c r="F28" s="97"/>
      <c r="G28" s="97"/>
      <c r="H28" s="97"/>
      <c r="I28" s="97"/>
      <c r="J28" s="97"/>
      <c r="K28" s="97"/>
    </row>
    <row r="29" spans="1:15" ht="15.5">
      <c r="A29" s="33"/>
      <c r="B29" s="32"/>
      <c r="C29" s="32"/>
      <c r="D29" s="32"/>
      <c r="E29" s="32"/>
      <c r="F29" s="33"/>
      <c r="G29" s="33"/>
      <c r="H29" s="33"/>
      <c r="I29" s="33"/>
      <c r="J29" s="33"/>
      <c r="K29" s="33"/>
    </row>
    <row r="30" spans="1:15" ht="15" customHeight="1">
      <c r="A30" s="115" t="s">
        <v>6</v>
      </c>
      <c r="B30" s="67" t="s">
        <v>7</v>
      </c>
      <c r="C30" s="101"/>
      <c r="D30" s="101"/>
      <c r="E30" s="68"/>
      <c r="F30" s="67" t="s">
        <v>8</v>
      </c>
      <c r="G30" s="68"/>
      <c r="H30" s="67" t="s">
        <v>9</v>
      </c>
      <c r="I30" s="68"/>
      <c r="J30" s="67" t="s">
        <v>10</v>
      </c>
      <c r="K30" s="68"/>
    </row>
    <row r="31" spans="1:15" ht="12.75" customHeight="1">
      <c r="A31" s="116"/>
      <c r="B31" s="69"/>
      <c r="C31" s="102"/>
      <c r="D31" s="102"/>
      <c r="E31" s="70"/>
      <c r="F31" s="69"/>
      <c r="G31" s="70"/>
      <c r="H31" s="83"/>
      <c r="I31" s="84"/>
      <c r="J31" s="69"/>
      <c r="K31" s="70"/>
    </row>
    <row r="32" spans="1:15" ht="31" customHeight="1">
      <c r="A32" s="4">
        <v>1</v>
      </c>
      <c r="B32" s="78" t="s">
        <v>61</v>
      </c>
      <c r="C32" s="79"/>
      <c r="D32" s="79"/>
      <c r="E32" s="80"/>
      <c r="F32" s="81" t="s">
        <v>33</v>
      </c>
      <c r="G32" s="82"/>
      <c r="H32" s="73" t="s">
        <v>35</v>
      </c>
      <c r="I32" s="74"/>
      <c r="J32" s="71">
        <f>LAMPIRAN!H11</f>
        <v>12643800</v>
      </c>
      <c r="K32" s="72"/>
      <c r="M32" s="47"/>
      <c r="N32" s="47"/>
      <c r="O32" s="48"/>
    </row>
    <row r="33" spans="1:15" ht="15.5">
      <c r="A33" s="4">
        <v>2</v>
      </c>
      <c r="B33" s="85" t="s">
        <v>22</v>
      </c>
      <c r="C33" s="86"/>
      <c r="D33" s="86"/>
      <c r="E33" s="87"/>
      <c r="F33" s="81" t="s">
        <v>34</v>
      </c>
      <c r="G33" s="90"/>
      <c r="H33" s="103" t="s">
        <v>22</v>
      </c>
      <c r="I33" s="104"/>
      <c r="J33" s="113">
        <f>LAMPIRAN!F11</f>
        <v>324200</v>
      </c>
      <c r="K33" s="72"/>
      <c r="M33" s="47"/>
      <c r="N33" s="47"/>
      <c r="O33" s="48"/>
    </row>
    <row r="34" spans="1:15" s="49" customFormat="1" ht="18.75" customHeight="1">
      <c r="A34" s="106" t="s">
        <v>10</v>
      </c>
      <c r="B34" s="107"/>
      <c r="C34" s="107"/>
      <c r="D34" s="107"/>
      <c r="E34" s="107"/>
      <c r="F34" s="107"/>
      <c r="G34" s="108"/>
      <c r="H34" s="109"/>
      <c r="I34" s="110"/>
      <c r="J34" s="88">
        <f>SUM(J32:K33)</f>
        <v>12968000</v>
      </c>
      <c r="K34" s="89"/>
      <c r="M34" s="50"/>
      <c r="N34" s="51"/>
      <c r="O34" s="52"/>
    </row>
    <row r="35" spans="1:15" ht="5.25" customHeight="1">
      <c r="A35" s="5"/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53"/>
    </row>
    <row r="36" spans="1:15" ht="3" customHeight="1">
      <c r="A36" s="77"/>
      <c r="B36" s="77"/>
      <c r="C36" s="77"/>
      <c r="D36" s="77"/>
      <c r="E36" s="77"/>
      <c r="F36" s="77"/>
      <c r="G36" s="77"/>
      <c r="H36" s="92"/>
      <c r="I36" s="92"/>
      <c r="J36" s="93"/>
      <c r="K36" s="93"/>
      <c r="L36" s="53"/>
      <c r="O36" s="47"/>
    </row>
    <row r="37" spans="1:15" ht="6" customHeight="1">
      <c r="A37" s="53"/>
      <c r="B37" s="53"/>
      <c r="C37" s="53"/>
      <c r="D37" s="53"/>
      <c r="E37" s="53"/>
      <c r="F37" s="53"/>
    </row>
    <row r="38" spans="1:15" ht="15.5">
      <c r="A38" s="94" t="s">
        <v>11</v>
      </c>
      <c r="B38" s="94"/>
      <c r="C38" s="94"/>
      <c r="D38" s="94"/>
      <c r="E38" s="94"/>
      <c r="F38" s="94"/>
      <c r="G38" s="94"/>
      <c r="H38" s="94"/>
      <c r="I38" s="94"/>
      <c r="J38" s="94"/>
      <c r="K38" s="94"/>
      <c r="M38" s="47"/>
      <c r="O38" s="47"/>
    </row>
    <row r="39" spans="1:15" ht="15.5">
      <c r="A39" s="97" t="s">
        <v>12</v>
      </c>
      <c r="B39" s="97"/>
      <c r="C39" s="97"/>
      <c r="D39" s="97"/>
      <c r="E39" s="97"/>
      <c r="F39" s="97"/>
      <c r="G39" s="97"/>
      <c r="H39" s="97"/>
      <c r="I39" s="97"/>
      <c r="J39" s="97"/>
      <c r="K39" s="97"/>
      <c r="O39" s="47"/>
    </row>
    <row r="40" spans="1:15" ht="15.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M40" s="47"/>
      <c r="O40" s="54"/>
    </row>
    <row r="41" spans="1:15" ht="15.5">
      <c r="A41" s="94" t="s">
        <v>13</v>
      </c>
      <c r="B41" s="94"/>
      <c r="C41" s="94"/>
      <c r="D41" s="94"/>
      <c r="E41" s="94"/>
      <c r="F41" s="94"/>
      <c r="G41" s="94"/>
      <c r="H41" s="94"/>
      <c r="I41" s="94"/>
      <c r="J41" s="94"/>
      <c r="K41" s="94"/>
      <c r="N41" s="54"/>
      <c r="O41" s="54"/>
    </row>
    <row r="42" spans="1:15" ht="15.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O42" s="47"/>
    </row>
    <row r="43" spans="1:15" ht="15.5">
      <c r="A43" s="91" t="s">
        <v>14</v>
      </c>
      <c r="B43" s="91"/>
      <c r="C43" s="91"/>
      <c r="D43" s="91"/>
      <c r="E43" s="91"/>
      <c r="F43" s="1"/>
      <c r="G43" s="1"/>
      <c r="H43" s="91"/>
      <c r="I43" s="91"/>
      <c r="J43" s="91"/>
      <c r="K43" s="91"/>
    </row>
    <row r="44" spans="1:15" ht="15.5">
      <c r="A44" s="91" t="s">
        <v>50</v>
      </c>
      <c r="B44" s="91"/>
      <c r="C44" s="91"/>
      <c r="D44" s="91"/>
      <c r="E44" s="91"/>
      <c r="F44" s="1"/>
      <c r="G44" s="1"/>
      <c r="H44" s="91" t="s">
        <v>23</v>
      </c>
      <c r="I44" s="91"/>
      <c r="J44" s="91"/>
      <c r="K44" s="91"/>
    </row>
    <row r="45" spans="1:15" ht="15.5">
      <c r="A45" s="91" t="s">
        <v>15</v>
      </c>
      <c r="B45" s="91"/>
      <c r="C45" s="91"/>
      <c r="D45" s="91"/>
      <c r="E45" s="91"/>
      <c r="F45" s="1"/>
      <c r="G45" s="1"/>
      <c r="H45" s="91"/>
      <c r="I45" s="91"/>
      <c r="J45" s="91"/>
      <c r="K45" s="91"/>
    </row>
    <row r="46" spans="1:15" ht="15.5">
      <c r="A46" s="105"/>
      <c r="B46" s="105"/>
      <c r="C46" s="105"/>
      <c r="D46" s="105"/>
      <c r="E46" s="105"/>
      <c r="F46" s="1"/>
      <c r="G46" s="1"/>
      <c r="H46" s="1"/>
      <c r="I46" s="1"/>
      <c r="J46" s="1"/>
      <c r="K46" s="1"/>
    </row>
    <row r="47" spans="1:15" ht="15.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5" ht="15.5">
      <c r="A48" s="120"/>
      <c r="B48" s="120"/>
      <c r="C48" s="120"/>
      <c r="D48" s="120"/>
      <c r="E48" s="120"/>
      <c r="F48" s="1"/>
      <c r="G48" s="1"/>
      <c r="H48" s="120"/>
      <c r="I48" s="120"/>
      <c r="J48" s="120"/>
      <c r="K48" s="120"/>
    </row>
    <row r="49" spans="1:12" ht="15.5">
      <c r="A49" s="119" t="s">
        <v>47</v>
      </c>
      <c r="B49" s="119"/>
      <c r="C49" s="119"/>
      <c r="D49" s="119"/>
      <c r="E49" s="119"/>
      <c r="F49" s="1"/>
      <c r="G49" s="1"/>
      <c r="H49" s="118" t="s">
        <v>30</v>
      </c>
      <c r="I49" s="118"/>
      <c r="J49" s="118"/>
      <c r="K49" s="118"/>
      <c r="L49" s="8"/>
    </row>
    <row r="50" spans="1:12" ht="15.5">
      <c r="A50" s="121" t="s">
        <v>48</v>
      </c>
      <c r="B50" s="121"/>
      <c r="C50" s="121"/>
      <c r="D50" s="121"/>
      <c r="E50" s="121"/>
      <c r="F50" s="1"/>
      <c r="G50" s="1"/>
      <c r="H50" s="122" t="s">
        <v>37</v>
      </c>
      <c r="I50" s="122"/>
      <c r="J50" s="122"/>
      <c r="K50" s="122"/>
    </row>
    <row r="51" spans="1:12" ht="18">
      <c r="A51" s="56"/>
      <c r="B51" s="43"/>
      <c r="C51" s="43"/>
      <c r="D51" s="43"/>
      <c r="E51" s="43"/>
      <c r="F51" s="31"/>
    </row>
    <row r="52" spans="1:12">
      <c r="A52" s="55"/>
      <c r="B52" s="56"/>
      <c r="C52" s="56"/>
      <c r="D52" s="43"/>
      <c r="E52" s="117"/>
      <c r="F52" s="117"/>
    </row>
    <row r="53" spans="1:12">
      <c r="A53" s="57"/>
      <c r="B53" s="56"/>
      <c r="C53" s="56"/>
      <c r="D53" s="43"/>
      <c r="E53" s="43"/>
      <c r="F53" s="43"/>
    </row>
    <row r="54" spans="1:12">
      <c r="A54" s="56"/>
      <c r="B54" s="59"/>
      <c r="C54" s="59"/>
      <c r="D54" s="43"/>
      <c r="E54" s="43"/>
      <c r="F54" s="43"/>
    </row>
    <row r="55" spans="1:12">
      <c r="A55" s="58"/>
      <c r="B55" s="56"/>
      <c r="C55" s="56"/>
      <c r="D55" s="43"/>
      <c r="E55" s="123"/>
      <c r="F55" s="123"/>
    </row>
    <row r="56" spans="1:12">
      <c r="A56" s="55"/>
      <c r="B56" s="43"/>
      <c r="C56" s="43"/>
      <c r="D56" s="43"/>
      <c r="E56" s="117"/>
      <c r="F56" s="117"/>
    </row>
  </sheetData>
  <sheetProtection selectLockedCells="1" selectUnlockedCells="1"/>
  <mergeCells count="62">
    <mergeCell ref="E56:F56"/>
    <mergeCell ref="H49:K49"/>
    <mergeCell ref="A49:E49"/>
    <mergeCell ref="B35:E35"/>
    <mergeCell ref="A48:E48"/>
    <mergeCell ref="H48:K48"/>
    <mergeCell ref="E52:F52"/>
    <mergeCell ref="A50:E50"/>
    <mergeCell ref="H50:K50"/>
    <mergeCell ref="E55:F55"/>
    <mergeCell ref="A1:K1"/>
    <mergeCell ref="A2:K2"/>
    <mergeCell ref="A3:K3"/>
    <mergeCell ref="J33:K33"/>
    <mergeCell ref="H9:K9"/>
    <mergeCell ref="A28:K28"/>
    <mergeCell ref="A30:A31"/>
    <mergeCell ref="F30:G31"/>
    <mergeCell ref="H33:I33"/>
    <mergeCell ref="H44:K44"/>
    <mergeCell ref="A46:E46"/>
    <mergeCell ref="A45:E45"/>
    <mergeCell ref="A41:K41"/>
    <mergeCell ref="H45:K45"/>
    <mergeCell ref="A34:G34"/>
    <mergeCell ref="H34:I34"/>
    <mergeCell ref="A7:K7"/>
    <mergeCell ref="A8:K8"/>
    <mergeCell ref="A11:F11"/>
    <mergeCell ref="A12:F12"/>
    <mergeCell ref="A39:K39"/>
    <mergeCell ref="A21:E21"/>
    <mergeCell ref="A15:F15"/>
    <mergeCell ref="A16:F16"/>
    <mergeCell ref="A17:F17"/>
    <mergeCell ref="B18:D18"/>
    <mergeCell ref="A44:E44"/>
    <mergeCell ref="H36:I36"/>
    <mergeCell ref="J36:K36"/>
    <mergeCell ref="A38:K38"/>
    <mergeCell ref="A43:E43"/>
    <mergeCell ref="H43:K43"/>
    <mergeCell ref="J35:K35"/>
    <mergeCell ref="A36:G36"/>
    <mergeCell ref="B32:E32"/>
    <mergeCell ref="H35:I35"/>
    <mergeCell ref="F32:G32"/>
    <mergeCell ref="H30:I31"/>
    <mergeCell ref="B33:E33"/>
    <mergeCell ref="J34:K34"/>
    <mergeCell ref="F33:G33"/>
    <mergeCell ref="B30:E31"/>
    <mergeCell ref="A13:H13"/>
    <mergeCell ref="A4:K4"/>
    <mergeCell ref="A5:K5"/>
    <mergeCell ref="A6:K6"/>
    <mergeCell ref="F35:G35"/>
    <mergeCell ref="J30:K31"/>
    <mergeCell ref="J32:K32"/>
    <mergeCell ref="H32:I32"/>
    <mergeCell ref="A23:K23"/>
    <mergeCell ref="A25:K25"/>
  </mergeCells>
  <pageMargins left="0.51" right="0" top="0.75" bottom="0" header="0.51181102362204722" footer="0.51181102362204722"/>
  <pageSetup paperSize="5" firstPageNumber="0" orientation="portrait" horizontalDpi="4294967293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7"/>
  <sheetViews>
    <sheetView tabSelected="1" zoomScale="115" zoomScaleNormal="115" zoomScaleSheetLayoutView="100" workbookViewId="0">
      <selection activeCell="A21" sqref="A21:E21"/>
    </sheetView>
  </sheetViews>
  <sheetFormatPr defaultColWidth="9.1796875" defaultRowHeight="14"/>
  <cols>
    <col min="1" max="1" width="7.1796875" style="46" customWidth="1"/>
    <col min="2" max="2" width="9.1796875" style="46" customWidth="1"/>
    <col min="3" max="3" width="2.453125" style="46" customWidth="1"/>
    <col min="4" max="4" width="16.81640625" style="46" customWidth="1"/>
    <col min="5" max="5" width="7.54296875" style="46" customWidth="1"/>
    <col min="6" max="6" width="7.7265625" style="46" customWidth="1"/>
    <col min="7" max="7" width="7.54296875" style="46" customWidth="1"/>
    <col min="8" max="8" width="6.81640625" style="46" customWidth="1"/>
    <col min="9" max="9" width="10.1796875" style="46" customWidth="1"/>
    <col min="10" max="10" width="9.1796875" style="46" customWidth="1"/>
    <col min="11" max="11" width="9" style="46" customWidth="1"/>
    <col min="12" max="12" width="9.1796875" style="46" customWidth="1"/>
    <col min="13" max="13" width="11.81640625" style="46" customWidth="1"/>
    <col min="14" max="14" width="11.1796875" style="46" customWidth="1"/>
    <col min="15" max="15" width="11.7265625" style="46" customWidth="1"/>
    <col min="16" max="16384" width="9.1796875" style="46"/>
  </cols>
  <sheetData>
    <row r="1" spans="1:13" s="43" customFormat="1" ht="18">
      <c r="A1" s="111" t="s">
        <v>26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42"/>
      <c r="M1" s="42"/>
    </row>
    <row r="2" spans="1:13" s="43" customFormat="1" ht="22.5">
      <c r="A2" s="112" t="s">
        <v>27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44"/>
      <c r="M2" s="44"/>
    </row>
    <row r="3" spans="1:13" s="43" customFormat="1">
      <c r="A3" s="64" t="s">
        <v>39</v>
      </c>
      <c r="B3" s="64"/>
      <c r="C3" s="64"/>
      <c r="D3" s="64"/>
      <c r="E3" s="64"/>
      <c r="F3" s="64"/>
      <c r="G3" s="64"/>
      <c r="H3" s="64"/>
      <c r="I3" s="64"/>
      <c r="J3" s="64"/>
      <c r="K3" s="64"/>
      <c r="L3" s="45"/>
      <c r="M3" s="45"/>
    </row>
    <row r="4" spans="1:13" s="43" customFormat="1">
      <c r="A4" s="64" t="s">
        <v>28</v>
      </c>
      <c r="B4" s="64"/>
      <c r="C4" s="64"/>
      <c r="D4" s="64"/>
      <c r="E4" s="64"/>
      <c r="F4" s="64"/>
      <c r="G4" s="64"/>
      <c r="H4" s="64"/>
      <c r="I4" s="64"/>
      <c r="J4" s="64"/>
      <c r="K4" s="64"/>
      <c r="L4" s="45"/>
      <c r="M4" s="45"/>
    </row>
    <row r="5" spans="1:13" s="43" customFormat="1">
      <c r="A5" s="64" t="s">
        <v>29</v>
      </c>
      <c r="B5" s="64"/>
      <c r="C5" s="64"/>
      <c r="D5" s="64"/>
      <c r="E5" s="64"/>
      <c r="F5" s="64"/>
      <c r="G5" s="64"/>
      <c r="H5" s="64"/>
      <c r="I5" s="64"/>
      <c r="J5" s="64"/>
      <c r="K5" s="64"/>
      <c r="L5" s="45"/>
      <c r="M5" s="45"/>
    </row>
    <row r="6" spans="1:13" s="43" customFormat="1" ht="14.5" thickBot="1">
      <c r="A6" s="65" t="s">
        <v>40</v>
      </c>
      <c r="B6" s="65"/>
      <c r="C6" s="65"/>
      <c r="D6" s="65"/>
      <c r="E6" s="65"/>
      <c r="F6" s="65"/>
      <c r="G6" s="65"/>
      <c r="H6" s="65"/>
      <c r="I6" s="65"/>
      <c r="J6" s="65"/>
      <c r="K6" s="65"/>
      <c r="L6" s="45"/>
      <c r="M6" s="45"/>
    </row>
    <row r="7" spans="1:13" ht="3.75" customHeight="1" thickTop="1" thickBot="1">
      <c r="A7" s="95"/>
      <c r="B7" s="95"/>
      <c r="C7" s="95"/>
      <c r="D7" s="95"/>
      <c r="E7" s="95"/>
      <c r="F7" s="95"/>
      <c r="G7" s="95"/>
      <c r="H7" s="95"/>
      <c r="I7" s="95"/>
      <c r="J7" s="95"/>
      <c r="K7" s="95"/>
    </row>
    <row r="8" spans="1:13" ht="3" customHeight="1">
      <c r="A8" s="96"/>
      <c r="B8" s="96"/>
      <c r="C8" s="96"/>
      <c r="D8" s="96"/>
      <c r="E8" s="96"/>
      <c r="F8" s="96"/>
      <c r="G8" s="96"/>
      <c r="H8" s="96"/>
      <c r="I8" s="96"/>
      <c r="J8" s="96"/>
      <c r="K8" s="96"/>
    </row>
    <row r="9" spans="1:13" ht="15.5">
      <c r="G9" s="1"/>
      <c r="H9" s="162" t="s">
        <v>71</v>
      </c>
      <c r="I9" s="162"/>
      <c r="J9" s="162"/>
      <c r="K9" s="162"/>
    </row>
    <row r="11" spans="1:13" ht="15.5">
      <c r="A11" s="143" t="s">
        <v>0</v>
      </c>
      <c r="B11" s="143"/>
      <c r="C11" s="143"/>
      <c r="D11" s="143"/>
      <c r="E11" s="143"/>
      <c r="F11" s="143"/>
      <c r="G11" s="1"/>
      <c r="H11" s="1"/>
      <c r="I11" s="1"/>
      <c r="J11" s="1"/>
      <c r="K11" s="1"/>
    </row>
    <row r="12" spans="1:13" ht="15.5">
      <c r="A12" s="143" t="s">
        <v>1</v>
      </c>
      <c r="B12" s="143"/>
      <c r="C12" s="143"/>
      <c r="D12" s="143"/>
      <c r="E12" s="143"/>
      <c r="F12" s="143"/>
      <c r="G12" s="1"/>
      <c r="H12" s="1"/>
      <c r="I12" s="1"/>
      <c r="J12" s="1"/>
      <c r="K12" s="1"/>
    </row>
    <row r="13" spans="1:13" ht="15.5" customHeight="1">
      <c r="A13" s="161" t="s">
        <v>70</v>
      </c>
      <c r="B13" s="161"/>
      <c r="C13" s="161"/>
      <c r="D13" s="161"/>
      <c r="E13" s="161"/>
      <c r="F13" s="161"/>
      <c r="G13" s="161"/>
      <c r="H13" s="161"/>
      <c r="I13" s="1"/>
      <c r="J13" s="1"/>
      <c r="K13" s="1"/>
    </row>
    <row r="14" spans="1:13" ht="15.5">
      <c r="G14" s="1"/>
      <c r="H14" s="1"/>
      <c r="I14" s="1"/>
      <c r="J14" s="1"/>
      <c r="K14" s="1"/>
    </row>
    <row r="15" spans="1:13" ht="15.5">
      <c r="A15" s="160" t="s">
        <v>69</v>
      </c>
      <c r="B15" s="160"/>
      <c r="C15" s="160"/>
      <c r="D15" s="160"/>
      <c r="E15" s="160"/>
      <c r="F15" s="160"/>
      <c r="G15" s="159"/>
      <c r="H15" s="159"/>
      <c r="I15" s="159"/>
      <c r="J15" s="159"/>
      <c r="K15" s="159"/>
    </row>
    <row r="16" spans="1:13" ht="15.5">
      <c r="A16" s="160" t="s">
        <v>68</v>
      </c>
      <c r="B16" s="160"/>
      <c r="C16" s="160"/>
      <c r="D16" s="160"/>
      <c r="E16" s="160"/>
      <c r="F16" s="160"/>
      <c r="G16" s="159"/>
      <c r="H16" s="159"/>
      <c r="I16" s="159"/>
      <c r="J16" s="159"/>
      <c r="K16" s="159"/>
    </row>
    <row r="17" spans="1:15" ht="15.5">
      <c r="A17" s="160" t="s">
        <v>24</v>
      </c>
      <c r="B17" s="160"/>
      <c r="C17" s="160"/>
      <c r="D17" s="160"/>
      <c r="E17" s="160"/>
      <c r="F17" s="160"/>
      <c r="G17" s="159"/>
      <c r="H17" s="159"/>
      <c r="I17" s="159"/>
      <c r="J17" s="159"/>
      <c r="K17" s="159"/>
    </row>
    <row r="18" spans="1:15" ht="15.5">
      <c r="A18" s="156"/>
      <c r="B18" s="158" t="s">
        <v>2</v>
      </c>
      <c r="C18" s="158"/>
      <c r="D18" s="158"/>
      <c r="E18" s="157"/>
      <c r="F18" s="157"/>
      <c r="G18" s="1"/>
      <c r="H18" s="1"/>
      <c r="I18" s="1"/>
      <c r="J18" s="1"/>
      <c r="K18" s="1"/>
    </row>
    <row r="19" spans="1:15" ht="15">
      <c r="G19" s="156"/>
      <c r="H19" s="156"/>
      <c r="I19" s="156"/>
      <c r="J19" s="156"/>
      <c r="K19" s="156"/>
    </row>
    <row r="21" spans="1:15" ht="15.5">
      <c r="A21" s="155" t="s">
        <v>3</v>
      </c>
      <c r="B21" s="155"/>
      <c r="C21" s="155"/>
      <c r="D21" s="155"/>
      <c r="E21" s="155"/>
      <c r="F21" s="1"/>
      <c r="G21" s="1"/>
      <c r="H21" s="1"/>
      <c r="I21" s="1"/>
      <c r="J21" s="1"/>
      <c r="K21" s="1"/>
    </row>
    <row r="22" spans="1:15" ht="15.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5" ht="15.5">
      <c r="A23" s="154" t="s">
        <v>67</v>
      </c>
      <c r="B23" s="154"/>
      <c r="C23" s="154"/>
      <c r="D23" s="154"/>
      <c r="E23" s="154"/>
      <c r="F23" s="154"/>
      <c r="G23" s="154"/>
      <c r="H23" s="154"/>
      <c r="I23" s="154"/>
      <c r="J23" s="154"/>
      <c r="K23" s="154"/>
      <c r="L23" s="153"/>
    </row>
    <row r="24" spans="1:15" ht="15.5">
      <c r="A24" s="153" t="s">
        <v>4</v>
      </c>
      <c r="B24" s="153"/>
      <c r="C24" s="153"/>
      <c r="D24" s="153"/>
      <c r="E24" s="153"/>
      <c r="F24" s="153"/>
      <c r="G24" s="153"/>
      <c r="H24" s="153"/>
      <c r="I24" s="153"/>
      <c r="J24" s="153"/>
      <c r="K24" s="153"/>
      <c r="L24" s="153"/>
    </row>
    <row r="25" spans="1:15" ht="15.5">
      <c r="A25" s="152"/>
      <c r="B25" s="152"/>
      <c r="C25" s="152"/>
      <c r="D25" s="152"/>
      <c r="E25" s="152"/>
      <c r="F25" s="152"/>
      <c r="G25" s="152"/>
      <c r="H25" s="152"/>
      <c r="I25" s="152"/>
      <c r="J25" s="152"/>
      <c r="K25" s="152"/>
    </row>
    <row r="26" spans="1:15" ht="15.5">
      <c r="A26" s="1" t="s">
        <v>41</v>
      </c>
      <c r="B26" s="1"/>
      <c r="C26" s="1"/>
      <c r="D26" s="1" t="s">
        <v>42</v>
      </c>
      <c r="E26" s="1"/>
      <c r="F26" s="1"/>
      <c r="G26" s="1"/>
      <c r="H26" s="1"/>
      <c r="I26" s="1"/>
      <c r="J26" s="1"/>
      <c r="K26" s="1"/>
    </row>
    <row r="27" spans="1:15" ht="15.5">
      <c r="A27" s="1" t="s">
        <v>43</v>
      </c>
      <c r="B27" s="1"/>
      <c r="C27" s="1"/>
      <c r="D27" s="6">
        <f>J35</f>
        <v>12968000</v>
      </c>
      <c r="E27" s="1"/>
      <c r="F27" s="1"/>
      <c r="G27" s="1"/>
      <c r="H27" s="1"/>
      <c r="I27" s="1"/>
      <c r="J27" s="1"/>
      <c r="K27" s="1"/>
    </row>
    <row r="28" spans="1:15" ht="15.5">
      <c r="A28" s="143" t="s">
        <v>5</v>
      </c>
      <c r="B28" s="143"/>
      <c r="C28" s="143"/>
      <c r="D28" s="143"/>
      <c r="E28" s="143"/>
      <c r="F28" s="143"/>
      <c r="G28" s="143"/>
      <c r="H28" s="143"/>
      <c r="I28" s="143"/>
      <c r="J28" s="143"/>
      <c r="K28" s="143"/>
    </row>
    <row r="29" spans="1:15" ht="15.5">
      <c r="A29" s="33"/>
      <c r="B29" s="151"/>
      <c r="C29" s="151"/>
      <c r="D29" s="151"/>
      <c r="E29" s="151"/>
      <c r="F29" s="33"/>
      <c r="G29" s="33"/>
      <c r="H29" s="33"/>
      <c r="I29" s="33"/>
      <c r="J29" s="33"/>
      <c r="K29" s="33"/>
    </row>
    <row r="30" spans="1:15" ht="15" customHeight="1">
      <c r="A30" s="115" t="s">
        <v>6</v>
      </c>
      <c r="B30" s="67" t="s">
        <v>7</v>
      </c>
      <c r="C30" s="101"/>
      <c r="D30" s="101"/>
      <c r="E30" s="68"/>
      <c r="F30" s="67" t="s">
        <v>8</v>
      </c>
      <c r="G30" s="68"/>
      <c r="H30" s="67" t="s">
        <v>9</v>
      </c>
      <c r="I30" s="68"/>
      <c r="J30" s="67" t="s">
        <v>10</v>
      </c>
      <c r="K30" s="68"/>
    </row>
    <row r="31" spans="1:15" ht="12.75" customHeight="1">
      <c r="A31" s="116"/>
      <c r="B31" s="69"/>
      <c r="C31" s="102"/>
      <c r="D31" s="102"/>
      <c r="E31" s="70"/>
      <c r="F31" s="69"/>
      <c r="G31" s="70"/>
      <c r="H31" s="83"/>
      <c r="I31" s="84"/>
      <c r="J31" s="69"/>
      <c r="K31" s="70"/>
    </row>
    <row r="32" spans="1:15" ht="15.5">
      <c r="A32" s="4">
        <v>1</v>
      </c>
      <c r="B32" s="85" t="s">
        <v>66</v>
      </c>
      <c r="C32" s="86"/>
      <c r="D32" s="86"/>
      <c r="E32" s="87"/>
      <c r="F32" s="81" t="s">
        <v>33</v>
      </c>
      <c r="G32" s="82"/>
      <c r="H32" s="73" t="s">
        <v>35</v>
      </c>
      <c r="I32" s="74"/>
      <c r="J32" s="71">
        <f>'[1]DATA PRINT'!H11</f>
        <v>12643800</v>
      </c>
      <c r="K32" s="72"/>
      <c r="M32" s="47"/>
      <c r="N32" s="47"/>
      <c r="O32" s="48"/>
    </row>
    <row r="33" spans="1:15" ht="15.5">
      <c r="A33" s="4">
        <v>2</v>
      </c>
      <c r="B33" s="85" t="s">
        <v>22</v>
      </c>
      <c r="C33" s="86"/>
      <c r="D33" s="86"/>
      <c r="E33" s="87"/>
      <c r="F33" s="81" t="s">
        <v>34</v>
      </c>
      <c r="G33" s="90"/>
      <c r="H33" s="103" t="s">
        <v>22</v>
      </c>
      <c r="I33" s="104"/>
      <c r="J33" s="113">
        <f>'[1]DATA PRINT'!F11</f>
        <v>324200</v>
      </c>
      <c r="K33" s="72"/>
      <c r="M33" s="47"/>
      <c r="N33" s="47"/>
      <c r="O33" s="48"/>
    </row>
    <row r="34" spans="1:15" ht="15.5">
      <c r="A34" s="4">
        <v>3</v>
      </c>
      <c r="B34" s="85" t="s">
        <v>65</v>
      </c>
      <c r="C34" s="86"/>
      <c r="D34" s="86"/>
      <c r="E34" s="87"/>
      <c r="F34" s="81" t="s">
        <v>64</v>
      </c>
      <c r="G34" s="90"/>
      <c r="H34" s="150" t="s">
        <v>36</v>
      </c>
      <c r="I34" s="149"/>
      <c r="J34" s="148">
        <f>'[1]DATA PRINT'!G11</f>
        <v>0</v>
      </c>
      <c r="K34" s="147"/>
      <c r="M34" s="47"/>
      <c r="N34" s="47"/>
      <c r="O34" s="48"/>
    </row>
    <row r="35" spans="1:15" s="49" customFormat="1" ht="18.75" customHeight="1">
      <c r="A35" s="106" t="s">
        <v>10</v>
      </c>
      <c r="B35" s="107"/>
      <c r="C35" s="107"/>
      <c r="D35" s="107"/>
      <c r="E35" s="107"/>
      <c r="F35" s="107"/>
      <c r="G35" s="108"/>
      <c r="H35" s="109"/>
      <c r="I35" s="110"/>
      <c r="J35" s="88">
        <f>SUM(J32:K34)</f>
        <v>12968000</v>
      </c>
      <c r="K35" s="89"/>
      <c r="M35" s="50"/>
      <c r="N35" s="51"/>
      <c r="O35" s="52"/>
    </row>
    <row r="36" spans="1:15" ht="5.25" customHeight="1">
      <c r="A36" s="62"/>
      <c r="B36" s="66"/>
      <c r="C36" s="66"/>
      <c r="D36" s="66"/>
      <c r="E36" s="66"/>
      <c r="F36" s="66"/>
      <c r="G36" s="66"/>
      <c r="H36" s="66"/>
      <c r="I36" s="66"/>
      <c r="J36" s="66"/>
      <c r="K36" s="66"/>
    </row>
    <row r="37" spans="1:15" ht="3" customHeight="1">
      <c r="A37" s="146"/>
      <c r="B37" s="146"/>
      <c r="C37" s="146"/>
      <c r="D37" s="146"/>
      <c r="E37" s="146"/>
      <c r="F37" s="146"/>
      <c r="G37" s="146"/>
      <c r="H37" s="145"/>
      <c r="I37" s="145"/>
      <c r="J37" s="144"/>
      <c r="K37" s="144"/>
      <c r="O37" s="47"/>
    </row>
    <row r="38" spans="1:15" ht="6" customHeight="1"/>
    <row r="39" spans="1:15" ht="15.5">
      <c r="A39" s="142" t="s">
        <v>11</v>
      </c>
      <c r="B39" s="142"/>
      <c r="C39" s="142"/>
      <c r="D39" s="142"/>
      <c r="E39" s="142"/>
      <c r="F39" s="142"/>
      <c r="G39" s="142"/>
      <c r="H39" s="142"/>
      <c r="I39" s="142"/>
      <c r="J39" s="142"/>
      <c r="K39" s="142"/>
      <c r="M39" s="47"/>
      <c r="O39" s="47"/>
    </row>
    <row r="40" spans="1:15" ht="15.5">
      <c r="A40" s="143" t="s">
        <v>12</v>
      </c>
      <c r="B40" s="143"/>
      <c r="C40" s="143"/>
      <c r="D40" s="143"/>
      <c r="E40" s="143"/>
      <c r="F40" s="143"/>
      <c r="G40" s="143"/>
      <c r="H40" s="143"/>
      <c r="I40" s="143"/>
      <c r="J40" s="143"/>
      <c r="K40" s="143"/>
      <c r="O40" s="47"/>
    </row>
    <row r="41" spans="1:15" ht="15.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M41" s="47"/>
      <c r="O41" s="54"/>
    </row>
    <row r="42" spans="1:15" ht="15.5">
      <c r="A42" s="142" t="s">
        <v>13</v>
      </c>
      <c r="B42" s="142"/>
      <c r="C42" s="142"/>
      <c r="D42" s="142"/>
      <c r="E42" s="142"/>
      <c r="F42" s="142"/>
      <c r="G42" s="142"/>
      <c r="H42" s="142"/>
      <c r="I42" s="142"/>
      <c r="J42" s="142"/>
      <c r="K42" s="142"/>
      <c r="N42" s="54"/>
      <c r="O42" s="54"/>
    </row>
    <row r="43" spans="1:15" ht="15.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O43" s="47"/>
    </row>
    <row r="44" spans="1:15" ht="15.5">
      <c r="A44" s="105" t="s">
        <v>14</v>
      </c>
      <c r="B44" s="105"/>
      <c r="C44" s="105"/>
      <c r="D44" s="105"/>
      <c r="E44" s="105"/>
      <c r="F44" s="1"/>
      <c r="G44" s="1"/>
      <c r="H44" s="105"/>
      <c r="I44" s="105"/>
      <c r="J44" s="105"/>
      <c r="K44" s="105"/>
    </row>
    <row r="45" spans="1:15" ht="15.5">
      <c r="A45" s="105" t="s">
        <v>50</v>
      </c>
      <c r="B45" s="105"/>
      <c r="C45" s="105"/>
      <c r="D45" s="105"/>
      <c r="E45" s="105"/>
      <c r="F45" s="1"/>
      <c r="G45" s="1"/>
      <c r="H45" s="105" t="s">
        <v>23</v>
      </c>
      <c r="I45" s="105"/>
      <c r="J45" s="105"/>
      <c r="K45" s="105"/>
    </row>
    <row r="46" spans="1:15" ht="15.5">
      <c r="A46" s="105" t="s">
        <v>15</v>
      </c>
      <c r="B46" s="105"/>
      <c r="C46" s="105"/>
      <c r="D46" s="105"/>
      <c r="E46" s="105"/>
      <c r="F46" s="1"/>
      <c r="G46" s="1"/>
      <c r="H46" s="105"/>
      <c r="I46" s="105"/>
      <c r="J46" s="105"/>
      <c r="K46" s="105"/>
    </row>
    <row r="47" spans="1:15" ht="15.5">
      <c r="A47" s="105"/>
      <c r="B47" s="105"/>
      <c r="C47" s="105"/>
      <c r="D47" s="105"/>
      <c r="E47" s="105"/>
      <c r="F47" s="1"/>
      <c r="G47" s="1"/>
      <c r="H47" s="1"/>
      <c r="I47" s="1"/>
      <c r="J47" s="1"/>
      <c r="K47" s="1"/>
    </row>
    <row r="48" spans="1:15" ht="15.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2" ht="15.5">
      <c r="A49" s="141"/>
      <c r="B49" s="141"/>
      <c r="C49" s="141"/>
      <c r="D49" s="141"/>
      <c r="E49" s="141"/>
      <c r="F49" s="1"/>
      <c r="G49" s="1"/>
      <c r="H49" s="141"/>
      <c r="I49" s="141"/>
      <c r="J49" s="141"/>
      <c r="K49" s="141"/>
    </row>
    <row r="50" spans="1:12" ht="15.5">
      <c r="A50" s="140" t="s">
        <v>47</v>
      </c>
      <c r="B50" s="140"/>
      <c r="C50" s="140"/>
      <c r="D50" s="140"/>
      <c r="E50" s="140"/>
      <c r="F50" s="1"/>
      <c r="G50" s="1"/>
      <c r="H50" s="118" t="s">
        <v>30</v>
      </c>
      <c r="I50" s="118"/>
      <c r="J50" s="118"/>
      <c r="K50" s="118"/>
      <c r="L50" s="1"/>
    </row>
    <row r="51" spans="1:12" ht="15.5">
      <c r="A51" s="121" t="s">
        <v>48</v>
      </c>
      <c r="B51" s="121"/>
      <c r="C51" s="121"/>
      <c r="D51" s="121"/>
      <c r="E51" s="121"/>
      <c r="F51" s="1"/>
      <c r="G51" s="1"/>
      <c r="H51" s="122" t="s">
        <v>37</v>
      </c>
      <c r="I51" s="122"/>
      <c r="J51" s="122"/>
      <c r="K51" s="122"/>
    </row>
    <row r="52" spans="1:12" ht="18">
      <c r="A52" s="56"/>
      <c r="B52" s="43"/>
      <c r="C52" s="43"/>
      <c r="D52" s="43"/>
      <c r="E52" s="43"/>
      <c r="F52" s="31"/>
    </row>
    <row r="53" spans="1:12">
      <c r="A53" s="55"/>
      <c r="B53" s="56"/>
      <c r="C53" s="56"/>
      <c r="D53" s="43"/>
      <c r="E53" s="117"/>
      <c r="F53" s="117"/>
    </row>
    <row r="54" spans="1:12">
      <c r="A54" s="57"/>
      <c r="B54" s="56"/>
      <c r="C54" s="56"/>
      <c r="D54" s="43"/>
      <c r="E54" s="43"/>
      <c r="F54" s="43"/>
    </row>
    <row r="55" spans="1:12">
      <c r="A55" s="56"/>
      <c r="B55" s="59"/>
      <c r="C55" s="59"/>
      <c r="D55" s="43"/>
      <c r="E55" s="43"/>
      <c r="F55" s="43"/>
    </row>
    <row r="56" spans="1:12">
      <c r="A56" s="139"/>
      <c r="B56" s="56"/>
      <c r="C56" s="56"/>
      <c r="D56" s="43"/>
      <c r="E56" s="123"/>
      <c r="F56" s="123"/>
    </row>
    <row r="57" spans="1:12">
      <c r="A57" s="55"/>
      <c r="B57" s="43"/>
      <c r="C57" s="43"/>
      <c r="D57" s="43"/>
      <c r="E57" s="117"/>
      <c r="F57" s="117"/>
    </row>
  </sheetData>
  <sheetProtection selectLockedCells="1" selectUnlockedCells="1"/>
  <mergeCells count="66">
    <mergeCell ref="A13:H13"/>
    <mergeCell ref="A4:K4"/>
    <mergeCell ref="A5:K5"/>
    <mergeCell ref="A6:K6"/>
    <mergeCell ref="F36:G36"/>
    <mergeCell ref="J30:K31"/>
    <mergeCell ref="J32:K32"/>
    <mergeCell ref="H32:I32"/>
    <mergeCell ref="H34:I34"/>
    <mergeCell ref="A23:K23"/>
    <mergeCell ref="A25:K25"/>
    <mergeCell ref="J36:K36"/>
    <mergeCell ref="A37:G37"/>
    <mergeCell ref="B32:E32"/>
    <mergeCell ref="H36:I36"/>
    <mergeCell ref="F32:G32"/>
    <mergeCell ref="H30:I31"/>
    <mergeCell ref="B33:E33"/>
    <mergeCell ref="J35:K35"/>
    <mergeCell ref="F33:G33"/>
    <mergeCell ref="A45:E45"/>
    <mergeCell ref="H37:I37"/>
    <mergeCell ref="J37:K37"/>
    <mergeCell ref="A39:K39"/>
    <mergeCell ref="A44:E44"/>
    <mergeCell ref="H44:K44"/>
    <mergeCell ref="A7:K7"/>
    <mergeCell ref="A8:K8"/>
    <mergeCell ref="A11:F11"/>
    <mergeCell ref="A12:F12"/>
    <mergeCell ref="A40:K40"/>
    <mergeCell ref="A21:E21"/>
    <mergeCell ref="A15:F15"/>
    <mergeCell ref="A16:F16"/>
    <mergeCell ref="A17:F17"/>
    <mergeCell ref="B18:D18"/>
    <mergeCell ref="B30:E31"/>
    <mergeCell ref="F30:G31"/>
    <mergeCell ref="H33:I33"/>
    <mergeCell ref="H45:K45"/>
    <mergeCell ref="A47:E47"/>
    <mergeCell ref="A46:E46"/>
    <mergeCell ref="A42:K42"/>
    <mergeCell ref="H46:K46"/>
    <mergeCell ref="A35:G35"/>
    <mergeCell ref="H35:I35"/>
    <mergeCell ref="A1:K1"/>
    <mergeCell ref="A2:K2"/>
    <mergeCell ref="A3:K3"/>
    <mergeCell ref="B34:E34"/>
    <mergeCell ref="F34:G34"/>
    <mergeCell ref="J33:K33"/>
    <mergeCell ref="J34:K34"/>
    <mergeCell ref="H9:K9"/>
    <mergeCell ref="A28:K28"/>
    <mergeCell ref="A30:A31"/>
    <mergeCell ref="E57:F57"/>
    <mergeCell ref="H50:K50"/>
    <mergeCell ref="A50:E50"/>
    <mergeCell ref="B36:E36"/>
    <mergeCell ref="A49:E49"/>
    <mergeCell ref="H49:K49"/>
    <mergeCell ref="E53:F53"/>
    <mergeCell ref="A51:E51"/>
    <mergeCell ref="H51:K51"/>
    <mergeCell ref="E56:F56"/>
  </mergeCells>
  <pageMargins left="0.51" right="0" top="0.75" bottom="0" header="0.51181102362204722" footer="0.51181102362204722"/>
  <pageSetup paperSize="5" firstPageNumber="0" orientation="portrait" horizontalDpi="4294967293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view="pageBreakPreview" zoomScaleNormal="100" zoomScaleSheetLayoutView="100" workbookViewId="0">
      <selection activeCell="C20" sqref="C20"/>
    </sheetView>
  </sheetViews>
  <sheetFormatPr defaultColWidth="9" defaultRowHeight="14"/>
  <cols>
    <col min="1" max="1" width="4.7265625" style="29" customWidth="1"/>
    <col min="2" max="2" width="24.7265625" style="12" customWidth="1"/>
    <col min="3" max="3" width="18.26953125" style="12" customWidth="1"/>
    <col min="4" max="4" width="15.1796875" style="12" customWidth="1"/>
    <col min="5" max="5" width="14.54296875" style="12" customWidth="1"/>
    <col min="6" max="6" width="11.26953125" style="12" customWidth="1"/>
    <col min="7" max="7" width="9.453125" style="12" customWidth="1"/>
    <col min="8" max="8" width="13.7265625" style="12" customWidth="1"/>
    <col min="9" max="9" width="5.26953125" style="12" customWidth="1"/>
    <col min="10" max="16384" width="9" style="12"/>
  </cols>
  <sheetData>
    <row r="1" spans="1:8" s="20" customFormat="1" ht="23.25" customHeight="1">
      <c r="A1" s="127" t="s">
        <v>38</v>
      </c>
      <c r="B1" s="127"/>
      <c r="C1" s="127"/>
      <c r="D1" s="127"/>
      <c r="E1" s="127"/>
      <c r="F1" s="127"/>
      <c r="G1" s="127"/>
      <c r="H1" s="127"/>
    </row>
    <row r="2" spans="1:8" s="20" customFormat="1" ht="20.25" customHeight="1">
      <c r="A2" s="127" t="s">
        <v>32</v>
      </c>
      <c r="B2" s="127"/>
      <c r="C2" s="127"/>
      <c r="D2" s="127"/>
      <c r="E2" s="127"/>
      <c r="F2" s="127"/>
      <c r="G2" s="127"/>
      <c r="H2" s="127"/>
    </row>
    <row r="3" spans="1:8" s="20" customFormat="1" ht="19.5" customHeight="1">
      <c r="A3" s="127" t="s">
        <v>44</v>
      </c>
      <c r="B3" s="127"/>
      <c r="C3" s="127"/>
      <c r="D3" s="127"/>
      <c r="E3" s="127"/>
      <c r="F3" s="127"/>
      <c r="G3" s="127"/>
      <c r="H3" s="127"/>
    </row>
    <row r="4" spans="1:8" ht="44.25" customHeight="1"/>
    <row r="5" spans="1:8" s="21" customFormat="1" ht="18.75" customHeight="1">
      <c r="A5" s="131" t="s">
        <v>16</v>
      </c>
      <c r="B5" s="133" t="s">
        <v>17</v>
      </c>
      <c r="C5" s="126" t="s">
        <v>56</v>
      </c>
      <c r="D5" s="135" t="s">
        <v>18</v>
      </c>
      <c r="E5" s="137" t="s">
        <v>19</v>
      </c>
      <c r="F5" s="124" t="s">
        <v>20</v>
      </c>
      <c r="G5" s="125"/>
      <c r="H5" s="131" t="s">
        <v>21</v>
      </c>
    </row>
    <row r="6" spans="1:8" s="21" customFormat="1" ht="26.25" customHeight="1">
      <c r="A6" s="132"/>
      <c r="B6" s="134"/>
      <c r="C6" s="126"/>
      <c r="D6" s="136"/>
      <c r="E6" s="138"/>
      <c r="F6" s="22" t="s">
        <v>22</v>
      </c>
      <c r="G6" s="22" t="s">
        <v>31</v>
      </c>
      <c r="H6" s="132"/>
    </row>
    <row r="7" spans="1:8" s="20" customFormat="1" ht="23.25" customHeight="1">
      <c r="A7" s="35">
        <v>1</v>
      </c>
      <c r="B7" s="36" t="s">
        <v>52</v>
      </c>
      <c r="C7" s="36" t="s">
        <v>36</v>
      </c>
      <c r="D7" s="60" t="s">
        <v>57</v>
      </c>
      <c r="E7" s="37">
        <v>3427200</v>
      </c>
      <c r="F7" s="38">
        <f>E7*2.5%</f>
        <v>85680</v>
      </c>
      <c r="G7" s="39">
        <v>0</v>
      </c>
      <c r="H7" s="40">
        <f>E7-F7-G7</f>
        <v>3341520</v>
      </c>
    </row>
    <row r="8" spans="1:8" s="20" customFormat="1" ht="23.25" customHeight="1">
      <c r="A8" s="35">
        <v>2</v>
      </c>
      <c r="B8" s="41" t="s">
        <v>53</v>
      </c>
      <c r="C8" s="36" t="s">
        <v>36</v>
      </c>
      <c r="D8" s="60" t="s">
        <v>58</v>
      </c>
      <c r="E8" s="37">
        <v>3302400</v>
      </c>
      <c r="F8" s="38">
        <f>E8*2.5%</f>
        <v>82560</v>
      </c>
      <c r="G8" s="39">
        <v>0</v>
      </c>
      <c r="H8" s="40">
        <f>E8-F8-G8</f>
        <v>3219840</v>
      </c>
    </row>
    <row r="9" spans="1:8" ht="18" customHeight="1">
      <c r="A9" s="23">
        <v>3</v>
      </c>
      <c r="B9" s="25" t="s">
        <v>54</v>
      </c>
      <c r="C9" s="36" t="s">
        <v>36</v>
      </c>
      <c r="D9" s="61" t="s">
        <v>59</v>
      </c>
      <c r="E9" s="24">
        <v>3058100</v>
      </c>
      <c r="F9" s="13">
        <f>E9*2.5%</f>
        <v>76452.5</v>
      </c>
      <c r="G9" s="11">
        <v>0</v>
      </c>
      <c r="H9" s="14">
        <f>E9-F9-G9</f>
        <v>2981647.5</v>
      </c>
    </row>
    <row r="10" spans="1:8" ht="18" customHeight="1">
      <c r="A10" s="23">
        <v>4</v>
      </c>
      <c r="B10" s="25" t="s">
        <v>55</v>
      </c>
      <c r="C10" s="36" t="s">
        <v>36</v>
      </c>
      <c r="D10" s="61" t="s">
        <v>60</v>
      </c>
      <c r="E10" s="26">
        <v>3180300</v>
      </c>
      <c r="F10" s="13">
        <f>E10*2.5%</f>
        <v>79507.5</v>
      </c>
      <c r="G10" s="11">
        <v>0</v>
      </c>
      <c r="H10" s="14">
        <f>E10-F10-G10</f>
        <v>3100792.5</v>
      </c>
    </row>
    <row r="11" spans="1:8" s="28" customFormat="1" ht="24" customHeight="1">
      <c r="A11" s="128" t="s">
        <v>25</v>
      </c>
      <c r="B11" s="129"/>
      <c r="C11" s="129"/>
      <c r="D11" s="130"/>
      <c r="E11" s="27">
        <f>SUM(E7:E10)</f>
        <v>12968000</v>
      </c>
      <c r="F11" s="27">
        <f>SUM(F7:F10)</f>
        <v>324200</v>
      </c>
      <c r="G11" s="27">
        <f>SUM(G7:G10)</f>
        <v>0</v>
      </c>
      <c r="H11" s="27">
        <f>SUM(H7:H10)</f>
        <v>12643800</v>
      </c>
    </row>
    <row r="12" spans="1:8">
      <c r="A12" s="18"/>
      <c r="B12" s="15"/>
      <c r="C12" s="15"/>
      <c r="D12" s="15"/>
      <c r="E12" s="16"/>
      <c r="F12" s="16"/>
      <c r="G12" s="16"/>
      <c r="H12" s="16"/>
    </row>
    <row r="13" spans="1:8">
      <c r="A13" s="18"/>
      <c r="B13" s="15"/>
      <c r="C13" s="15"/>
      <c r="D13" s="15"/>
      <c r="E13" s="17"/>
      <c r="F13" s="17"/>
      <c r="G13" s="17"/>
    </row>
    <row r="14" spans="1:8">
      <c r="A14" s="18"/>
      <c r="B14" s="15"/>
      <c r="C14" s="15"/>
      <c r="D14" s="15"/>
    </row>
    <row r="15" spans="1:8" ht="15.5">
      <c r="A15" s="18"/>
      <c r="B15" s="15"/>
      <c r="C15" s="15"/>
      <c r="D15" s="15"/>
      <c r="E15" s="19"/>
      <c r="F15" s="19"/>
      <c r="G15" s="19" t="s">
        <v>14</v>
      </c>
    </row>
    <row r="16" spans="1:8" ht="15.5">
      <c r="E16" s="19"/>
      <c r="F16" s="19"/>
      <c r="G16" s="19" t="s">
        <v>49</v>
      </c>
    </row>
    <row r="17" spans="5:7" ht="15.5">
      <c r="E17" s="19"/>
      <c r="F17" s="19"/>
      <c r="G17" s="19"/>
    </row>
    <row r="18" spans="5:7" ht="15.5">
      <c r="E18" s="19"/>
      <c r="F18" s="19"/>
      <c r="G18" s="19"/>
    </row>
    <row r="19" spans="5:7" ht="15.5">
      <c r="E19" s="19"/>
      <c r="F19" s="19"/>
      <c r="G19" s="19"/>
    </row>
    <row r="20" spans="5:7" ht="18">
      <c r="E20" s="30"/>
      <c r="F20" s="30"/>
      <c r="G20" s="34" t="str">
        <f>'BANK JATENG'!A49</f>
        <v>SUBUH ONI WIYONO, SE., MM.</v>
      </c>
    </row>
    <row r="21" spans="5:7" ht="15.5">
      <c r="E21" s="19"/>
      <c r="F21" s="19"/>
      <c r="G21" s="19" t="str">
        <f>'BANK JATENG'!A50</f>
        <v>NIP. 19680331 199603 1 007</v>
      </c>
    </row>
    <row r="25" spans="5:7">
      <c r="G25" s="18"/>
    </row>
  </sheetData>
  <sheetProtection selectLockedCells="1" selectUnlockedCells="1"/>
  <mergeCells count="11">
    <mergeCell ref="H5:H6"/>
    <mergeCell ref="F5:G5"/>
    <mergeCell ref="C5:C6"/>
    <mergeCell ref="A1:H1"/>
    <mergeCell ref="A2:H2"/>
    <mergeCell ref="A3:H3"/>
    <mergeCell ref="A11:D11"/>
    <mergeCell ref="A5:A6"/>
    <mergeCell ref="B5:B6"/>
    <mergeCell ref="D5:D6"/>
    <mergeCell ref="E5:E6"/>
  </mergeCells>
  <pageMargins left="0.37" right="0.12" top="0.75" bottom="0.75" header="0.51180555555555551" footer="0.51180555555555551"/>
  <pageSetup paperSize="5" scale="88" firstPageNumber="0" orientation="portrait" horizontalDpi="4294967293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BANK JATENG</vt:lpstr>
      <vt:lpstr>BAWON</vt:lpstr>
      <vt:lpstr>LAMPIRAN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Rita</dc:creator>
  <cp:lastModifiedBy>Hardi Agunadi</cp:lastModifiedBy>
  <cp:lastPrinted>2025-05-21T09:17:16Z</cp:lastPrinted>
  <dcterms:created xsi:type="dcterms:W3CDTF">2019-05-10T04:01:12Z</dcterms:created>
  <dcterms:modified xsi:type="dcterms:W3CDTF">2026-02-12T20:18:56Z</dcterms:modified>
</cp:coreProperties>
</file>