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wsl.localhost\Ubuntu-24.04\var\www\jadwal\public\template\"/>
    </mc:Choice>
  </mc:AlternateContent>
  <xr:revisionPtr revIDLastSave="0" documentId="13_ncr:1_{131F4630-2D2E-424A-AB78-1C32DFAF84E9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PENGANTAR" sheetId="1" r:id="rId1"/>
    <sheet name="DATA PRINT" sheetId="2" r:id="rId2"/>
  </sheets>
  <definedNames>
    <definedName name="_xlnm.Print_Area" localSheetId="0">PENGANTAR!$A$1:$K$51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0" i="2" l="1"/>
  <c r="F29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7" i="2"/>
  <c r="F21" i="2" l="1"/>
  <c r="J33" i="1"/>
  <c r="G7" i="2"/>
  <c r="E21" i="2"/>
  <c r="J32" i="1" s="1"/>
  <c r="D21" i="2"/>
  <c r="G21" i="2" l="1"/>
  <c r="J31" i="1" s="1"/>
  <c r="J34" i="1" s="1"/>
  <c r="D27" i="1" s="1"/>
</calcChain>
</file>

<file path=xl/sharedStrings.xml><?xml version="1.0" encoding="utf-8"?>
<sst xmlns="http://schemas.openxmlformats.org/spreadsheetml/2006/main" count="91" uniqueCount="85">
  <si>
    <t xml:space="preserve">Nomor     :  900/ </t>
  </si>
  <si>
    <t>Lampiran :  1 (satu) Lembar</t>
  </si>
  <si>
    <t>Cabang Wonosobo</t>
  </si>
  <si>
    <t>WONOSOBO</t>
  </si>
  <si>
    <t>Dengan hormat,</t>
  </si>
  <si>
    <t>untuk dipindahbukukan dari rekening gaji kami :</t>
  </si>
  <si>
    <t>Untuk dipindahkan kedalam rekening di bawah ini :</t>
  </si>
  <si>
    <t>No.</t>
  </si>
  <si>
    <t>NAMA  REK</t>
  </si>
  <si>
    <t>Nomor Rek</t>
  </si>
  <si>
    <t>KET</t>
  </si>
  <si>
    <t>Jumlah</t>
  </si>
  <si>
    <t>Gaji bersih masuk rek (daft terlamp)</t>
  </si>
  <si>
    <t>akan tanggung jawab atas kesalahan penyampaian data tersebut diatas</t>
  </si>
  <si>
    <t>Demikian yang dapat kami sampaikan, atas perhatiannya kami ucapkan terimakasih</t>
  </si>
  <si>
    <t>Mengetahui,</t>
  </si>
  <si>
    <t xml:space="preserve">Kabupaten Wonosobo  </t>
  </si>
  <si>
    <t>NO</t>
  </si>
  <si>
    <t>NAMA</t>
  </si>
  <si>
    <t>NO REKENING</t>
  </si>
  <si>
    <t>GAJI BRUTO</t>
  </si>
  <si>
    <t>GAJI BERSIH</t>
  </si>
  <si>
    <t>BAZNAS</t>
  </si>
  <si>
    <t>Penyiap Dokumen Gaji</t>
  </si>
  <si>
    <t>KORPRI KAB. WONOSOBO</t>
  </si>
  <si>
    <t>Yth. Bpk Pemimpin Cabang BANK JATENG</t>
  </si>
  <si>
    <t>di      -</t>
  </si>
  <si>
    <t>JUMLAH</t>
  </si>
  <si>
    <t>Telpon ( 0286 ) 3304957</t>
  </si>
  <si>
    <t>Laman: kecamatanwatumalang.wonosobokab.go.id</t>
  </si>
  <si>
    <r>
      <t xml:space="preserve">Pos-el </t>
    </r>
    <r>
      <rPr>
        <i/>
        <sz val="10"/>
        <color indexed="30"/>
        <rFont val="Arial"/>
        <family val="2"/>
      </rPr>
      <t>watumalang08@gmail.com</t>
    </r>
  </si>
  <si>
    <t>SUBUH ONI WIYONO SE,MM</t>
  </si>
  <si>
    <t>SAEFUL MUJAB</t>
  </si>
  <si>
    <t>LUWI HARTI MUZAR, SE</t>
  </si>
  <si>
    <t xml:space="preserve">DWI ATMOKO </t>
  </si>
  <si>
    <t>ROHADI, S.M</t>
  </si>
  <si>
    <t>AZIZ ARAFAT, SPd</t>
  </si>
  <si>
    <t>SUTINI</t>
  </si>
  <si>
    <t>INDARSIH,A.Md</t>
  </si>
  <si>
    <t>ENDARTO</t>
  </si>
  <si>
    <t>MUH AZIZ</t>
  </si>
  <si>
    <t>WAGIMIN</t>
  </si>
  <si>
    <t>SOLEH</t>
  </si>
  <si>
    <t>BASRI</t>
  </si>
  <si>
    <t>3-023-03740-7</t>
  </si>
  <si>
    <t>3-023-03053-4</t>
  </si>
  <si>
    <t>3-023-14617-6</t>
  </si>
  <si>
    <t>3-023-11508-4</t>
  </si>
  <si>
    <t>3-023-06590-7</t>
  </si>
  <si>
    <t>3-023-08255-1</t>
  </si>
  <si>
    <t>3-023-04040-8</t>
  </si>
  <si>
    <t>3-023-19553-3</t>
  </si>
  <si>
    <t>3-023-06908-2</t>
  </si>
  <si>
    <t>3-023-13672-3</t>
  </si>
  <si>
    <t>3-023-13673-1</t>
  </si>
  <si>
    <t>3-023-25196-4</t>
  </si>
  <si>
    <t>3-023-16429-8</t>
  </si>
  <si>
    <t>3-023-13669-3</t>
  </si>
  <si>
    <t>DKK  KORPRI</t>
  </si>
  <si>
    <t>DEWI ASMARANI H., A.Md</t>
  </si>
  <si>
    <t xml:space="preserve">KECAMATAN WATUMALANG </t>
  </si>
  <si>
    <t>9023999021</t>
  </si>
  <si>
    <t>2023062148</t>
  </si>
  <si>
    <t>10020100947</t>
  </si>
  <si>
    <t>RP/Gaji</t>
  </si>
  <si>
    <t>Bank Wonosobo</t>
  </si>
  <si>
    <t>NIP. 19710815 201212 1 001</t>
  </si>
  <si>
    <t xml:space="preserve">          Jalan Jebeng Lintang Nomor 29 Watumalang Wonosobo, Jawa Tengah, 56352</t>
  </si>
  <si>
    <t xml:space="preserve">            Apabila dikemudian hari terjadi kesalahan penyampaian data gaji pegawai, maka kami </t>
  </si>
  <si>
    <t xml:space="preserve">     KECAMATAN WATUMALANG</t>
  </si>
  <si>
    <t xml:space="preserve">      PEMERINTAH KABUPATEN WONOSOBO</t>
  </si>
  <si>
    <t>Jumlah                  : Rp. 73.029.600</t>
  </si>
  <si>
    <t>DAFTAR PENERIMAAN GAJI PNS</t>
  </si>
  <si>
    <t xml:space="preserve">Atas nama             </t>
  </si>
  <si>
    <t>:</t>
  </si>
  <si>
    <t>Bendahara Gaji Kantor Kecamatan Watumalang</t>
  </si>
  <si>
    <t>BULAN MEI 2025</t>
  </si>
  <si>
    <t>Wonosobo, 21 April 2025</t>
  </si>
  <si>
    <t>Perihal     : Pemindahbukuan Gaji ASN Mei 2025</t>
  </si>
  <si>
    <t xml:space="preserve">     Sehubungan dengan pembayaran gaji ASN bulan Mei 2025 bersama ini kami mohon</t>
  </si>
  <si>
    <t>Plt. Camat Watumalang</t>
  </si>
  <si>
    <t>SUBUH ONI WIYONO, SE., MM.</t>
  </si>
  <si>
    <t>NIP. 19680331 199603 1 007</t>
  </si>
  <si>
    <t>Camat Watumalang</t>
  </si>
  <si>
    <t>POT. LAINYA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</si>
</sst>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\-??_);_(@_)"/>
    <numFmt numFmtId="165" formatCode="_(* #,##0_);_(* \(#,##0\);_(* \-_);_(@_)"/>
    <numFmt numFmtId="166" formatCode="_(* #,##0_);_(* \(#,##0\);_(* \-??_);_(@_)"/>
    <numFmt numFmtId="167" formatCode="_(* #,##0_);_(* \(#,##0\);_(* &quot;-&quot;??_);_(@_)"/>
    <numFmt numFmtId="168" formatCode="&quot;Rp&quot;#,##0.00"/>
  </numFmts>
  <fonts count="30">
    <font>
      <sz val="11"/>
      <color indexed="8"/>
      <name val="Calibri"/>
      <family val="2"/>
      <charset val="1"/>
    </font>
    <font>
      <sz val="11"/>
      <color indexed="8"/>
      <name val="Calibri"/>
      <family val="2"/>
    </font>
    <font>
      <sz val="10"/>
      <name val="Arial"/>
      <family val="2"/>
      <charset val="134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u/>
      <sz val="12"/>
      <color indexed="8"/>
      <name val="Times New Roman"/>
      <family val="1"/>
    </font>
    <font>
      <b/>
      <u/>
      <sz val="12"/>
      <color indexed="8"/>
      <name val="Times New Roman"/>
      <family val="1"/>
    </font>
    <font>
      <sz val="9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  <charset val="1"/>
    </font>
    <font>
      <i/>
      <sz val="10"/>
      <color indexed="30"/>
      <name val="Arial"/>
      <family val="2"/>
    </font>
    <font>
      <sz val="12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9"/>
      <name val="Arial"/>
      <family val="2"/>
    </font>
    <font>
      <sz val="14"/>
      <color theme="1"/>
      <name val="Arial"/>
      <family val="2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sz val="14"/>
      <color theme="1"/>
      <name val="Times New Roman"/>
      <family val="1"/>
    </font>
    <font>
      <u/>
      <sz val="11"/>
      <color theme="1"/>
      <name val="Calibri"/>
      <family val="2"/>
      <scheme val="minor"/>
    </font>
    <font>
      <b/>
      <u/>
      <sz val="11"/>
      <color rgb="FF000000"/>
      <name val="Arial"/>
      <family val="2"/>
    </font>
    <font>
      <sz val="12"/>
      <color rgb="FF000000"/>
      <name val="Arial"/>
      <family val="2"/>
    </font>
    <font>
      <b/>
      <u/>
      <sz val="14"/>
      <color rgb="FF000000"/>
      <name val="Arial"/>
      <family val="2"/>
    </font>
    <font>
      <b/>
      <u/>
      <sz val="12"/>
      <color rgb="FF000000"/>
      <name val="Arial"/>
      <family val="2"/>
    </font>
    <font>
      <b/>
      <u/>
      <sz val="11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</borders>
  <cellStyleXfs count="9">
    <xf numFmtId="0" fontId="0" fillId="0" borderId="0"/>
    <xf numFmtId="164" fontId="10" fillId="0" borderId="0" applyFill="0" applyBorder="0" applyAlignment="0" applyProtection="0"/>
    <xf numFmtId="165" fontId="10" fillId="0" borderId="0" applyFill="0" applyBorder="0" applyAlignment="0" applyProtection="0"/>
    <xf numFmtId="165" fontId="10" fillId="0" borderId="0" applyFill="0" applyBorder="0" applyAlignment="0" applyProtection="0"/>
    <xf numFmtId="164" fontId="10" fillId="0" borderId="0" applyFill="0" applyBorder="0" applyAlignment="0" applyProtection="0"/>
    <xf numFmtId="0" fontId="1" fillId="0" borderId="0"/>
    <xf numFmtId="0" fontId="2" fillId="0" borderId="0">
      <alignment vertical="center"/>
    </xf>
    <xf numFmtId="0" fontId="1" fillId="0" borderId="0"/>
    <xf numFmtId="0" fontId="3" fillId="0" borderId="0"/>
  </cellStyleXfs>
  <cellXfs count="119">
    <xf numFmtId="0" fontId="0" fillId="0" borderId="0" xfId="0"/>
    <xf numFmtId="0" fontId="1" fillId="0" borderId="0" xfId="7"/>
    <xf numFmtId="0" fontId="5" fillId="0" borderId="0" xfId="7" applyFont="1"/>
    <xf numFmtId="0" fontId="5" fillId="0" borderId="0" xfId="7" applyFont="1" applyBorder="1" applyAlignment="1">
      <alignment vertical="center"/>
    </xf>
    <xf numFmtId="0" fontId="5" fillId="0" borderId="0" xfId="7" applyFont="1" applyAlignment="1"/>
    <xf numFmtId="0" fontId="4" fillId="0" borderId="1" xfId="7" applyFont="1" applyBorder="1" applyAlignment="1">
      <alignment horizontal="center" vertical="center"/>
    </xf>
    <xf numFmtId="3" fontId="1" fillId="0" borderId="0" xfId="7" applyNumberFormat="1"/>
    <xf numFmtId="166" fontId="8" fillId="0" borderId="0" xfId="1" applyNumberFormat="1" applyFont="1" applyFill="1" applyBorder="1" applyAlignment="1" applyProtection="1"/>
    <xf numFmtId="165" fontId="8" fillId="0" borderId="0" xfId="2" applyFont="1" applyFill="1" applyBorder="1" applyAlignment="1" applyProtection="1"/>
    <xf numFmtId="0" fontId="4" fillId="0" borderId="2" xfId="7" applyFont="1" applyFill="1" applyBorder="1" applyAlignment="1">
      <alignment horizontal="center" vertical="center"/>
    </xf>
    <xf numFmtId="0" fontId="1" fillId="0" borderId="0" xfId="7" applyBorder="1"/>
    <xf numFmtId="166" fontId="1" fillId="0" borderId="0" xfId="7" applyNumberFormat="1"/>
    <xf numFmtId="0" fontId="5" fillId="0" borderId="0" xfId="7" applyFont="1" applyBorder="1" applyAlignment="1">
      <alignment horizontal="left" indent="9"/>
    </xf>
    <xf numFmtId="0" fontId="5" fillId="0" borderId="0" xfId="7" applyFont="1" applyBorder="1" applyAlignment="1"/>
    <xf numFmtId="0" fontId="7" fillId="0" borderId="0" xfId="7" applyFont="1" applyBorder="1" applyAlignment="1"/>
    <xf numFmtId="0" fontId="4" fillId="0" borderId="0" xfId="7" applyFont="1" applyBorder="1" applyAlignment="1"/>
    <xf numFmtId="0" fontId="0" fillId="0" borderId="0" xfId="0" applyAlignment="1">
      <alignment horizont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165" fontId="14" fillId="0" borderId="3" xfId="0" applyNumberFormat="1" applyFont="1" applyBorder="1" applyAlignment="1">
      <alignment vertical="center"/>
    </xf>
    <xf numFmtId="0" fontId="14" fillId="0" borderId="0" xfId="0" applyFont="1" applyAlignment="1">
      <alignment vertical="center"/>
    </xf>
    <xf numFmtId="0" fontId="19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Border="1" applyAlignment="1">
      <alignment horizontal="center"/>
    </xf>
    <xf numFmtId="0" fontId="5" fillId="0" borderId="0" xfId="7" applyFont="1" applyBorder="1" applyAlignment="1">
      <alignment horizontal="left"/>
    </xf>
    <xf numFmtId="0" fontId="13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3" borderId="3" xfId="0" applyFont="1" applyFill="1" applyBorder="1" applyAlignment="1">
      <alignment vertical="center"/>
    </xf>
    <xf numFmtId="0" fontId="12" fillId="3" borderId="4" xfId="2" applyNumberFormat="1" applyFont="1" applyFill="1" applyBorder="1" applyAlignment="1">
      <alignment horizontal="center" vertical="center"/>
    </xf>
    <xf numFmtId="3" fontId="12" fillId="3" borderId="3" xfId="2" applyNumberFormat="1" applyFont="1" applyFill="1" applyBorder="1" applyAlignment="1">
      <alignment vertical="center"/>
    </xf>
    <xf numFmtId="165" fontId="13" fillId="0" borderId="5" xfId="0" applyNumberFormat="1" applyFont="1" applyBorder="1" applyAlignment="1">
      <alignment vertical="center"/>
    </xf>
    <xf numFmtId="167" fontId="12" fillId="3" borderId="3" xfId="1" applyNumberFormat="1" applyFont="1" applyFill="1" applyBorder="1" applyAlignment="1">
      <alignment horizontal="center" vertical="center"/>
    </xf>
    <xf numFmtId="165" fontId="13" fillId="0" borderId="1" xfId="0" applyNumberFormat="1" applyFont="1" applyBorder="1" applyAlignment="1">
      <alignment vertical="center"/>
    </xf>
    <xf numFmtId="0" fontId="22" fillId="3" borderId="3" xfId="0" applyFont="1" applyFill="1" applyBorder="1" applyAlignment="1">
      <alignment vertical="center"/>
    </xf>
    <xf numFmtId="0" fontId="12" fillId="0" borderId="3" xfId="0" applyFont="1" applyFill="1" applyBorder="1" applyAlignment="1">
      <alignment vertical="center"/>
    </xf>
    <xf numFmtId="0" fontId="12" fillId="3" borderId="4" xfId="2" quotePrefix="1" applyNumberFormat="1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vertical="center"/>
    </xf>
    <xf numFmtId="165" fontId="13" fillId="0" borderId="0" xfId="0" applyNumberFormat="1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165" fontId="13" fillId="0" borderId="0" xfId="0" applyNumberFormat="1" applyFont="1" applyAlignment="1">
      <alignment vertical="center"/>
    </xf>
    <xf numFmtId="0" fontId="20" fillId="0" borderId="0" xfId="0" applyFont="1" applyAlignment="1">
      <alignment horizontal="center"/>
    </xf>
    <xf numFmtId="164" fontId="10" fillId="0" borderId="0" xfId="1" applyAlignment="1">
      <alignment vertical="center"/>
    </xf>
    <xf numFmtId="168" fontId="27" fillId="0" borderId="0" xfId="1" applyNumberFormat="1" applyFont="1" applyFill="1" applyBorder="1" applyAlignment="1" applyProtection="1">
      <alignment horizontal="left"/>
    </xf>
    <xf numFmtId="0" fontId="0" fillId="0" borderId="0" xfId="0" applyAlignment="1">
      <alignment horizontal="center"/>
    </xf>
    <xf numFmtId="0" fontId="25" fillId="0" borderId="0" xfId="0" applyFont="1" applyAlignment="1">
      <alignment horizontal="center"/>
    </xf>
    <xf numFmtId="0" fontId="21" fillId="0" borderId="0" xfId="0" applyFont="1" applyBorder="1" applyAlignment="1">
      <alignment horizontal="center"/>
    </xf>
    <xf numFmtId="0" fontId="1" fillId="0" borderId="2" xfId="7" applyBorder="1" applyAlignment="1">
      <alignment horizontal="center"/>
    </xf>
    <xf numFmtId="0" fontId="6" fillId="0" borderId="0" xfId="7" applyFont="1" applyBorder="1" applyAlignment="1">
      <alignment horizontal="center"/>
    </xf>
    <xf numFmtId="0" fontId="3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5" fillId="0" borderId="8" xfId="7" applyFont="1" applyBorder="1" applyAlignment="1">
      <alignment horizontal="left"/>
    </xf>
    <xf numFmtId="0" fontId="5" fillId="0" borderId="9" xfId="7" applyFont="1" applyBorder="1" applyAlignment="1">
      <alignment horizontal="left"/>
    </xf>
    <xf numFmtId="0" fontId="5" fillId="0" borderId="5" xfId="7" applyFont="1" applyBorder="1" applyAlignment="1">
      <alignment horizontal="left"/>
    </xf>
    <xf numFmtId="165" fontId="0" fillId="0" borderId="8" xfId="2" quotePrefix="1" applyFont="1" applyBorder="1" applyAlignment="1">
      <alignment horizontal="center"/>
    </xf>
    <xf numFmtId="165" fontId="10" fillId="0" borderId="5" xfId="2" applyBorder="1" applyAlignment="1">
      <alignment horizontal="center"/>
    </xf>
    <xf numFmtId="3" fontId="5" fillId="0" borderId="8" xfId="7" applyNumberFormat="1" applyFont="1" applyBorder="1" applyAlignment="1">
      <alignment horizontal="right"/>
    </xf>
    <xf numFmtId="3" fontId="5" fillId="0" borderId="5" xfId="7" applyNumberFormat="1" applyFont="1" applyBorder="1" applyAlignment="1">
      <alignment horizontal="right"/>
    </xf>
    <xf numFmtId="0" fontId="5" fillId="0" borderId="0" xfId="7" applyFont="1" applyBorder="1" applyAlignment="1">
      <alignment horizontal="right"/>
    </xf>
    <xf numFmtId="0" fontId="5" fillId="0" borderId="0" xfId="7" applyFont="1" applyAlignment="1">
      <alignment horizontal="center"/>
    </xf>
    <xf numFmtId="0" fontId="5" fillId="0" borderId="0" xfId="7" applyFont="1" applyBorder="1" applyAlignment="1">
      <alignment horizontal="center"/>
    </xf>
    <xf numFmtId="0" fontId="5" fillId="0" borderId="0" xfId="7" applyFont="1" applyBorder="1" applyAlignment="1">
      <alignment horizontal="left" indent="8"/>
    </xf>
    <xf numFmtId="0" fontId="1" fillId="2" borderId="12" xfId="7" applyFill="1" applyBorder="1" applyAlignment="1">
      <alignment horizontal="center"/>
    </xf>
    <xf numFmtId="0" fontId="1" fillId="0" borderId="13" xfId="7" applyBorder="1" applyAlignment="1">
      <alignment horizontal="center"/>
    </xf>
    <xf numFmtId="0" fontId="5" fillId="0" borderId="0" xfId="7" applyFont="1" applyBorder="1" applyAlignment="1">
      <alignment horizontal="left"/>
    </xf>
    <xf numFmtId="0" fontId="5" fillId="0" borderId="0" xfId="7" applyFont="1" applyBorder="1" applyAlignment="1">
      <alignment horizontal="left" vertical="center" indent="10"/>
    </xf>
    <xf numFmtId="0" fontId="5" fillId="0" borderId="0" xfId="7" applyFont="1" applyBorder="1" applyAlignment="1"/>
    <xf numFmtId="0" fontId="5" fillId="0" borderId="14" xfId="7" applyFont="1" applyBorder="1" applyAlignment="1">
      <alignment horizontal="left"/>
    </xf>
    <xf numFmtId="0" fontId="4" fillId="0" borderId="1" xfId="7" applyFont="1" applyBorder="1" applyAlignment="1">
      <alignment horizontal="center" vertical="center"/>
    </xf>
    <xf numFmtId="0" fontId="4" fillId="0" borderId="15" xfId="7" applyFont="1" applyBorder="1" applyAlignment="1">
      <alignment horizontal="center" vertical="center"/>
    </xf>
    <xf numFmtId="0" fontId="4" fillId="0" borderId="2" xfId="7" applyFont="1" applyBorder="1" applyAlignment="1">
      <alignment horizontal="center" vertical="center"/>
    </xf>
    <xf numFmtId="0" fontId="4" fillId="0" borderId="16" xfId="7" applyFont="1" applyBorder="1" applyAlignment="1">
      <alignment horizontal="center" vertical="center"/>
    </xf>
    <xf numFmtId="0" fontId="4" fillId="0" borderId="17" xfId="7" applyFont="1" applyBorder="1" applyAlignment="1">
      <alignment horizontal="center" vertical="center"/>
    </xf>
    <xf numFmtId="0" fontId="4" fillId="0" borderId="14" xfId="7" applyFont="1" applyBorder="1" applyAlignment="1">
      <alignment horizontal="center" vertical="center"/>
    </xf>
    <xf numFmtId="0" fontId="4" fillId="0" borderId="18" xfId="7" applyFont="1" applyBorder="1" applyAlignment="1">
      <alignment horizontal="center" vertical="center"/>
    </xf>
    <xf numFmtId="3" fontId="5" fillId="0" borderId="17" xfId="7" applyNumberFormat="1" applyFont="1" applyBorder="1" applyAlignment="1">
      <alignment horizontal="center"/>
    </xf>
    <xf numFmtId="3" fontId="5" fillId="0" borderId="18" xfId="7" applyNumberFormat="1" applyFont="1" applyBorder="1" applyAlignment="1">
      <alignment horizontal="center"/>
    </xf>
    <xf numFmtId="0" fontId="1" fillId="0" borderId="11" xfId="7" applyBorder="1" applyAlignment="1">
      <alignment horizontal="center"/>
    </xf>
    <xf numFmtId="0" fontId="1" fillId="0" borderId="0" xfId="7" applyBorder="1" applyAlignment="1">
      <alignment horizontal="center"/>
    </xf>
    <xf numFmtId="0" fontId="4" fillId="0" borderId="0" xfId="7" applyFont="1" applyBorder="1" applyAlignment="1">
      <alignment horizontal="left" vertical="center"/>
    </xf>
    <xf numFmtId="3" fontId="1" fillId="0" borderId="0" xfId="7" applyNumberFormat="1" applyBorder="1" applyAlignment="1">
      <alignment horizontal="center"/>
    </xf>
    <xf numFmtId="165" fontId="10" fillId="0" borderId="9" xfId="2" applyBorder="1" applyAlignment="1">
      <alignment horizontal="center"/>
    </xf>
    <xf numFmtId="0" fontId="4" fillId="0" borderId="10" xfId="7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7" fillId="0" borderId="0" xfId="7" applyFont="1" applyBorder="1" applyAlignment="1">
      <alignment horizontal="center"/>
    </xf>
    <xf numFmtId="3" fontId="9" fillId="0" borderId="1" xfId="7" applyNumberFormat="1" applyFont="1" applyBorder="1" applyAlignment="1">
      <alignment horizontal="right"/>
    </xf>
    <xf numFmtId="3" fontId="5" fillId="0" borderId="1" xfId="7" applyNumberFormat="1" applyFont="1" applyBorder="1" applyAlignment="1">
      <alignment horizontal="right"/>
    </xf>
    <xf numFmtId="3" fontId="5" fillId="0" borderId="4" xfId="7" applyNumberFormat="1" applyFont="1" applyBorder="1" applyAlignment="1">
      <alignment horizontal="center"/>
    </xf>
    <xf numFmtId="3" fontId="5" fillId="0" borderId="7" xfId="7" applyNumberFormat="1" applyFont="1" applyBorder="1" applyAlignment="1">
      <alignment horizontal="center"/>
    </xf>
    <xf numFmtId="3" fontId="5" fillId="0" borderId="8" xfId="7" applyNumberFormat="1" applyFont="1" applyBorder="1" applyAlignment="1">
      <alignment horizontal="center"/>
    </xf>
    <xf numFmtId="3" fontId="5" fillId="0" borderId="5" xfId="7" applyNumberFormat="1" applyFont="1" applyBorder="1" applyAlignment="1">
      <alignment horizontal="center"/>
    </xf>
    <xf numFmtId="0" fontId="5" fillId="0" borderId="0" xfId="7" applyFont="1" applyBorder="1" applyAlignment="1">
      <alignment horizontal="center" vertical="center"/>
    </xf>
    <xf numFmtId="0" fontId="5" fillId="0" borderId="0" xfId="7" applyFont="1" applyBorder="1" applyAlignment="1">
      <alignment vertical="center"/>
    </xf>
    <xf numFmtId="0" fontId="14" fillId="0" borderId="0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</cellXfs>
  <cellStyles count="9">
    <cellStyle name="Comma" xfId="1" builtinId="3"/>
    <cellStyle name="Comma [0]" xfId="2" builtinId="6"/>
    <cellStyle name="Comma [0] 2" xfId="3" xr:uid="{00000000-0005-0000-0000-000002000000}"/>
    <cellStyle name="Comma 2" xfId="4" xr:uid="{00000000-0005-0000-0000-000003000000}"/>
    <cellStyle name="Normal" xfId="0" builtinId="0"/>
    <cellStyle name="Normal 2" xfId="5" xr:uid="{00000000-0005-0000-0000-000005000000}"/>
    <cellStyle name="Normal 2 2" xfId="6" xr:uid="{00000000-0005-0000-0000-000006000000}"/>
    <cellStyle name="Normal 2 3" xfId="7" xr:uid="{00000000-0005-0000-0000-000007000000}"/>
    <cellStyle name="Normal 3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127001</xdr:colOff>
      <xdr:row>0</xdr:row>
      <xdr:rowOff>95546</xdr:rowOff>
    </xdr:from>
    <xdr:to>
      <xdr:col>1</xdr:col>
      <xdr:colOff>569143</xdr:colOff>
      <xdr:row>4</xdr:row>
      <xdr:rowOff>60738</xdr:rowOff>
    </xdr:to>
    <xdr:pic>
      <xdr:nvPicPr>
        <xdr:cNvPr id="8195" name="image1.png">
          <a:extLst>
            <a:ext uri="{FF2B5EF4-FFF2-40B4-BE49-F238E27FC236}">
              <a16:creationId xmlns:a16="http://schemas.microsoft.com/office/drawing/2014/main" id="{EC341937-D5C1-4DCF-A67E-DD5C29F72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1" y="95546"/>
          <a:ext cx="790012" cy="8431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"/>
  <sheetViews>
    <sheetView tabSelected="1" view="pageBreakPreview" topLeftCell="A40" zoomScaleNormal="115" zoomScaleSheetLayoutView="100" workbookViewId="0">
      <selection activeCell="O9" sqref="O9"/>
    </sheetView>
  </sheetViews>
  <sheetFormatPr defaultColWidth="9.1796875" defaultRowHeight="14.5"/>
  <cols>
    <col min="1" max="1" width="5" style="1" customWidth="1"/>
    <col min="2" max="2" width="9.1796875" style="1" customWidth="1"/>
    <col min="3" max="3" width="2.6328125" style="1" customWidth="1"/>
    <col min="4" max="4" width="16.81640625" style="1" customWidth="1"/>
    <col min="5" max="5" width="7" style="1" customWidth="1"/>
    <col min="6" max="6" width="7.7265625" style="1" customWidth="1"/>
    <col min="7" max="7" width="7.54296875" style="1" customWidth="1"/>
    <col min="8" max="8" width="6.81640625" style="1" customWidth="1"/>
    <col min="9" max="9" width="9.453125" style="1" customWidth="1"/>
    <col min="10" max="10" width="9.1796875" style="1" customWidth="1"/>
    <col min="11" max="11" width="6" style="1" customWidth="1"/>
    <col min="12" max="12" width="2.26953125" style="1" customWidth="1"/>
    <col min="13" max="13" width="11.81640625" style="1" customWidth="1"/>
    <col min="14" max="14" width="11.1796875" style="1" customWidth="1"/>
    <col min="15" max="15" width="11.7265625" style="1" customWidth="1"/>
    <col min="16" max="16384" width="9.1796875" style="1"/>
  </cols>
  <sheetData>
    <row r="1" spans="1:13" customFormat="1" ht="17.5">
      <c r="A1" s="118" t="s">
        <v>70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7"/>
      <c r="M1" s="17"/>
    </row>
    <row r="2" spans="1:13" customFormat="1" ht="23">
      <c r="A2" s="117" t="s">
        <v>69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8"/>
      <c r="M2" s="18"/>
    </row>
    <row r="3" spans="1:13" customFormat="1">
      <c r="A3" s="60" t="s">
        <v>67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19"/>
      <c r="M3" s="19"/>
    </row>
    <row r="4" spans="1:13" customFormat="1">
      <c r="A4" s="60" t="s">
        <v>28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19"/>
      <c r="M4" s="19"/>
    </row>
    <row r="5" spans="1:13" customFormat="1">
      <c r="A5" s="60" t="s">
        <v>29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19"/>
      <c r="M5" s="19"/>
    </row>
    <row r="6" spans="1:13" customFormat="1" ht="15" thickBot="1">
      <c r="A6" s="93" t="s">
        <v>30</v>
      </c>
      <c r="B6" s="93"/>
      <c r="C6" s="93"/>
      <c r="D6" s="93"/>
      <c r="E6" s="93"/>
      <c r="F6" s="93"/>
      <c r="G6" s="93"/>
      <c r="H6" s="93"/>
      <c r="I6" s="93"/>
      <c r="J6" s="93"/>
      <c r="K6" s="93"/>
      <c r="L6" s="19"/>
      <c r="M6" s="19"/>
    </row>
    <row r="7" spans="1:13" ht="3.75" customHeight="1" thickTop="1" thickBot="1">
      <c r="A7" s="72"/>
      <c r="B7" s="72"/>
      <c r="C7" s="72"/>
      <c r="D7" s="72"/>
      <c r="E7" s="72"/>
      <c r="F7" s="72"/>
      <c r="G7" s="72"/>
      <c r="H7" s="72"/>
      <c r="I7" s="72"/>
      <c r="J7" s="72"/>
      <c r="K7" s="72"/>
    </row>
    <row r="8" spans="1:13" ht="3" customHeight="1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</row>
    <row r="9" spans="1:13" ht="15.5">
      <c r="G9" s="29"/>
      <c r="H9" s="68" t="s">
        <v>77</v>
      </c>
      <c r="I9" s="68"/>
      <c r="J9" s="68"/>
      <c r="K9" s="68"/>
    </row>
    <row r="11" spans="1:13" ht="15.5">
      <c r="A11" s="74" t="s">
        <v>0</v>
      </c>
      <c r="B11" s="74"/>
      <c r="C11" s="74"/>
      <c r="D11" s="74"/>
      <c r="E11" s="74"/>
      <c r="F11" s="74"/>
      <c r="G11" s="13"/>
      <c r="H11" s="13"/>
      <c r="I11" s="13"/>
      <c r="J11" s="13"/>
      <c r="K11" s="13"/>
    </row>
    <row r="12" spans="1:13" ht="15.5">
      <c r="A12" s="74" t="s">
        <v>1</v>
      </c>
      <c r="B12" s="74"/>
      <c r="C12" s="74"/>
      <c r="D12" s="74"/>
      <c r="E12" s="74"/>
      <c r="F12" s="74"/>
      <c r="G12" s="13"/>
      <c r="H12" s="13"/>
      <c r="I12" s="13"/>
      <c r="J12" s="13"/>
      <c r="K12" s="13"/>
    </row>
    <row r="13" spans="1:13" ht="15.5">
      <c r="A13" s="74" t="s">
        <v>78</v>
      </c>
      <c r="B13" s="74"/>
      <c r="C13" s="74"/>
      <c r="D13" s="74"/>
      <c r="E13" s="74"/>
      <c r="F13" s="74"/>
      <c r="G13" s="13"/>
      <c r="H13" s="13"/>
      <c r="I13" s="13"/>
      <c r="J13" s="13"/>
      <c r="K13" s="13"/>
    </row>
    <row r="14" spans="1:13" ht="15.5">
      <c r="G14" s="13"/>
      <c r="H14" s="13"/>
      <c r="I14" s="13"/>
      <c r="J14" s="13"/>
      <c r="K14" s="13"/>
    </row>
    <row r="15" spans="1:13" ht="15.5">
      <c r="A15" s="76" t="s">
        <v>25</v>
      </c>
      <c r="B15" s="76"/>
      <c r="C15" s="76"/>
      <c r="D15" s="76"/>
      <c r="E15" s="76"/>
      <c r="F15" s="76"/>
      <c r="G15" s="12"/>
      <c r="H15" s="12"/>
      <c r="I15" s="12"/>
      <c r="J15" s="12"/>
      <c r="K15" s="12"/>
    </row>
    <row r="16" spans="1:13" ht="15.5">
      <c r="A16" s="76" t="s">
        <v>2</v>
      </c>
      <c r="B16" s="76"/>
      <c r="C16" s="76"/>
      <c r="D16" s="76"/>
      <c r="E16" s="76"/>
      <c r="F16" s="76"/>
      <c r="G16" s="12"/>
      <c r="H16" s="12"/>
      <c r="I16" s="12"/>
      <c r="J16" s="12"/>
      <c r="K16" s="12"/>
    </row>
    <row r="17" spans="1:15" ht="15.5">
      <c r="A17" s="76" t="s">
        <v>26</v>
      </c>
      <c r="B17" s="76"/>
      <c r="C17" s="76"/>
      <c r="D17" s="76"/>
      <c r="E17" s="76"/>
      <c r="F17" s="76"/>
      <c r="G17" s="12"/>
      <c r="H17" s="12"/>
      <c r="I17" s="12"/>
      <c r="J17" s="12"/>
      <c r="K17" s="12"/>
    </row>
    <row r="18" spans="1:15" ht="15.5">
      <c r="A18" s="14"/>
      <c r="B18" s="94" t="s">
        <v>3</v>
      </c>
      <c r="C18" s="94"/>
      <c r="D18" s="94"/>
      <c r="E18" s="15"/>
      <c r="F18" s="15"/>
      <c r="G18" s="13"/>
      <c r="H18" s="13"/>
      <c r="I18" s="13"/>
      <c r="J18" s="13"/>
      <c r="K18" s="13"/>
    </row>
    <row r="19" spans="1:15" ht="15.5">
      <c r="G19" s="14"/>
      <c r="H19" s="14"/>
      <c r="I19" s="14"/>
      <c r="J19" s="14"/>
      <c r="K19" s="14"/>
    </row>
    <row r="21" spans="1:15" ht="15.5">
      <c r="A21" s="75" t="s">
        <v>4</v>
      </c>
      <c r="B21" s="75"/>
      <c r="C21" s="75"/>
      <c r="D21" s="75"/>
      <c r="E21" s="75"/>
      <c r="F21" s="2"/>
      <c r="G21" s="2"/>
      <c r="H21" s="2"/>
      <c r="I21" s="2"/>
      <c r="J21" s="2"/>
      <c r="K21" s="2"/>
    </row>
    <row r="22" spans="1:15" ht="15.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5" ht="15.5">
      <c r="A23" s="101" t="s">
        <v>79</v>
      </c>
      <c r="B23" s="101"/>
      <c r="C23" s="101"/>
      <c r="D23" s="101"/>
      <c r="E23" s="101"/>
      <c r="F23" s="101"/>
      <c r="G23" s="101"/>
      <c r="H23" s="101"/>
      <c r="I23" s="101"/>
      <c r="J23" s="101"/>
      <c r="K23" s="101"/>
      <c r="L23" s="3"/>
    </row>
    <row r="24" spans="1:15" ht="15.5">
      <c r="A24" s="3" t="s">
        <v>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5" ht="15.5">
      <c r="A25" s="102"/>
      <c r="B25" s="102"/>
      <c r="C25" s="102"/>
      <c r="D25" s="102"/>
      <c r="E25" s="102"/>
      <c r="F25" s="102"/>
      <c r="G25" s="102"/>
      <c r="H25" s="102"/>
      <c r="I25" s="102"/>
      <c r="J25" s="102"/>
      <c r="K25" s="102"/>
    </row>
    <row r="26" spans="1:15" ht="15.5">
      <c r="A26" s="13" t="s">
        <v>73</v>
      </c>
      <c r="B26" s="13"/>
      <c r="C26" s="13" t="s">
        <v>74</v>
      </c>
      <c r="D26" s="29" t="s">
        <v>75</v>
      </c>
      <c r="E26" s="13"/>
      <c r="F26" s="13"/>
      <c r="G26" s="13"/>
      <c r="H26" s="13"/>
      <c r="I26" s="13"/>
      <c r="J26" s="13"/>
      <c r="K26" s="13"/>
    </row>
    <row r="27" spans="1:15" ht="15.5">
      <c r="A27" s="4" t="s">
        <v>71</v>
      </c>
      <c r="B27" s="4"/>
      <c r="C27" s="4" t="s">
        <v>74</v>
      </c>
      <c r="D27" s="50">
        <f>J34</f>
        <v>61750500</v>
      </c>
      <c r="E27" s="4"/>
      <c r="F27" s="4"/>
      <c r="G27" s="4"/>
      <c r="H27" s="4"/>
      <c r="I27" s="4"/>
      <c r="J27" s="4"/>
      <c r="K27" s="4"/>
    </row>
    <row r="28" spans="1:15" ht="15.5">
      <c r="A28" s="77" t="s">
        <v>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</row>
    <row r="29" spans="1:15" ht="15" customHeight="1">
      <c r="A29" s="78" t="s">
        <v>7</v>
      </c>
      <c r="B29" s="79" t="s">
        <v>8</v>
      </c>
      <c r="C29" s="80"/>
      <c r="D29" s="80"/>
      <c r="E29" s="81"/>
      <c r="F29" s="78" t="s">
        <v>9</v>
      </c>
      <c r="G29" s="78"/>
      <c r="H29" s="78" t="s">
        <v>10</v>
      </c>
      <c r="I29" s="78"/>
      <c r="J29" s="78" t="s">
        <v>11</v>
      </c>
      <c r="K29" s="78"/>
    </row>
    <row r="30" spans="1:15" ht="12.75" customHeight="1">
      <c r="A30" s="78"/>
      <c r="B30" s="82"/>
      <c r="C30" s="83"/>
      <c r="D30" s="83"/>
      <c r="E30" s="84"/>
      <c r="F30" s="78"/>
      <c r="G30" s="78"/>
      <c r="H30" s="92"/>
      <c r="I30" s="92"/>
      <c r="J30" s="78"/>
      <c r="K30" s="78"/>
    </row>
    <row r="31" spans="1:15" ht="15.5">
      <c r="A31" s="5">
        <v>1</v>
      </c>
      <c r="B31" s="61" t="s">
        <v>12</v>
      </c>
      <c r="C31" s="62"/>
      <c r="D31" s="62"/>
      <c r="E31" s="63"/>
      <c r="F31" s="64" t="s">
        <v>61</v>
      </c>
      <c r="G31" s="91"/>
      <c r="H31" s="97" t="s">
        <v>64</v>
      </c>
      <c r="I31" s="98"/>
      <c r="J31" s="67">
        <f>'DATA PRINT'!G21</f>
        <v>60066737.5</v>
      </c>
      <c r="K31" s="96"/>
      <c r="M31" s="6"/>
      <c r="N31" s="6"/>
      <c r="O31" s="7"/>
    </row>
    <row r="32" spans="1:15" ht="15.5">
      <c r="A32" s="5">
        <v>2</v>
      </c>
      <c r="B32" s="61" t="s">
        <v>22</v>
      </c>
      <c r="C32" s="62"/>
      <c r="D32" s="62"/>
      <c r="E32" s="63"/>
      <c r="F32" s="64" t="s">
        <v>62</v>
      </c>
      <c r="G32" s="65"/>
      <c r="H32" s="85" t="s">
        <v>22</v>
      </c>
      <c r="I32" s="86"/>
      <c r="J32" s="66">
        <f>'DATA PRINT'!E21</f>
        <v>1543762.5</v>
      </c>
      <c r="K32" s="67"/>
      <c r="M32" s="6"/>
      <c r="N32" s="6"/>
      <c r="O32" s="7"/>
    </row>
    <row r="33" spans="1:15" ht="15.5">
      <c r="A33" s="5">
        <v>3</v>
      </c>
      <c r="B33" s="61" t="s">
        <v>24</v>
      </c>
      <c r="C33" s="62"/>
      <c r="D33" s="62"/>
      <c r="E33" s="63"/>
      <c r="F33" s="64" t="s">
        <v>63</v>
      </c>
      <c r="G33" s="65"/>
      <c r="H33" s="99" t="s">
        <v>65</v>
      </c>
      <c r="I33" s="100"/>
      <c r="J33" s="66">
        <f>'DATA PRINT'!F21</f>
        <v>140000</v>
      </c>
      <c r="K33" s="67"/>
      <c r="M33" s="6"/>
      <c r="N33" s="6"/>
      <c r="O33" s="7"/>
    </row>
    <row r="34" spans="1:15" ht="18.75" customHeight="1">
      <c r="A34" s="78" t="s">
        <v>11</v>
      </c>
      <c r="B34" s="78"/>
      <c r="C34" s="78"/>
      <c r="D34" s="78"/>
      <c r="E34" s="78"/>
      <c r="F34" s="78"/>
      <c r="G34" s="78"/>
      <c r="H34" s="87"/>
      <c r="I34" s="87"/>
      <c r="J34" s="95">
        <f>SUM(J31:K33)</f>
        <v>61750500</v>
      </c>
      <c r="K34" s="95"/>
      <c r="M34" s="8"/>
      <c r="N34" s="6"/>
      <c r="O34" s="7"/>
    </row>
    <row r="35" spans="1:15" ht="5.25" customHeight="1">
      <c r="A35" s="9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10"/>
    </row>
    <row r="36" spans="1:15" ht="3" customHeight="1">
      <c r="A36" s="89"/>
      <c r="B36" s="89"/>
      <c r="C36" s="89"/>
      <c r="D36" s="89"/>
      <c r="E36" s="89"/>
      <c r="F36" s="89"/>
      <c r="G36" s="89"/>
      <c r="H36" s="88"/>
      <c r="I36" s="88"/>
      <c r="J36" s="90"/>
      <c r="K36" s="90"/>
      <c r="L36" s="10"/>
      <c r="O36" s="6"/>
    </row>
    <row r="37" spans="1:15" ht="6" customHeight="1">
      <c r="A37" s="10"/>
      <c r="B37" s="10"/>
      <c r="C37" s="10"/>
      <c r="D37" s="10"/>
      <c r="E37" s="10"/>
      <c r="F37" s="10"/>
    </row>
    <row r="38" spans="1:15" ht="15.5">
      <c r="A38" s="13" t="s">
        <v>68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M38" s="6"/>
      <c r="O38" s="6"/>
    </row>
    <row r="39" spans="1:15" ht="15.5">
      <c r="A39" s="74" t="s">
        <v>13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O39" s="6"/>
    </row>
    <row r="40" spans="1:15" ht="15.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M40" s="6"/>
      <c r="O40" s="11"/>
    </row>
    <row r="41" spans="1:15" ht="15.5">
      <c r="A41" s="71" t="s">
        <v>14</v>
      </c>
      <c r="B41" s="71"/>
      <c r="C41" s="71"/>
      <c r="D41" s="71"/>
      <c r="E41" s="71"/>
      <c r="F41" s="71"/>
      <c r="G41" s="71"/>
      <c r="H41" s="71"/>
      <c r="I41" s="71"/>
      <c r="J41" s="71"/>
      <c r="K41" s="71"/>
      <c r="N41" s="11"/>
      <c r="O41" s="11"/>
    </row>
    <row r="42" spans="1:15" ht="15.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O42" s="6"/>
    </row>
    <row r="43" spans="1:15" ht="15.5">
      <c r="A43" s="70" t="s">
        <v>15</v>
      </c>
      <c r="B43" s="70"/>
      <c r="C43" s="70"/>
      <c r="D43" s="70"/>
      <c r="E43" s="70"/>
      <c r="F43" s="2"/>
      <c r="G43" s="2"/>
      <c r="H43" s="70"/>
      <c r="I43" s="70"/>
      <c r="J43" s="70"/>
      <c r="K43" s="70"/>
    </row>
    <row r="44" spans="1:15" ht="15.5">
      <c r="A44" s="70" t="s">
        <v>80</v>
      </c>
      <c r="B44" s="70"/>
      <c r="C44" s="70"/>
      <c r="D44" s="70"/>
      <c r="E44" s="70"/>
      <c r="F44" s="2"/>
      <c r="G44" s="2"/>
      <c r="H44" s="70" t="s">
        <v>23</v>
      </c>
      <c r="I44" s="70"/>
      <c r="J44" s="70"/>
      <c r="K44" s="70"/>
    </row>
    <row r="45" spans="1:15" ht="15.5">
      <c r="A45" s="70" t="s">
        <v>16</v>
      </c>
      <c r="B45" s="70"/>
      <c r="C45" s="70"/>
      <c r="D45" s="70"/>
      <c r="E45" s="70"/>
      <c r="F45" s="2"/>
      <c r="G45" s="2"/>
      <c r="H45" s="70"/>
      <c r="I45" s="70"/>
      <c r="J45" s="70"/>
      <c r="K45" s="70"/>
    </row>
    <row r="46" spans="1:15" ht="15.5">
      <c r="A46" s="69"/>
      <c r="B46" s="69"/>
      <c r="C46" s="69"/>
      <c r="D46" s="69"/>
      <c r="E46" s="69"/>
      <c r="F46" s="2"/>
      <c r="G46" s="2"/>
      <c r="H46" s="2"/>
      <c r="I46" s="2"/>
      <c r="J46" s="2"/>
      <c r="K46" s="2"/>
    </row>
    <row r="47" spans="1:15" ht="15.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5" ht="15.5">
      <c r="A48" s="55"/>
      <c r="B48" s="55"/>
      <c r="C48" s="55"/>
      <c r="D48" s="55"/>
      <c r="E48" s="55"/>
      <c r="F48" s="2"/>
      <c r="G48" s="2"/>
      <c r="H48" s="55"/>
      <c r="I48" s="55"/>
      <c r="J48" s="55"/>
      <c r="K48" s="55"/>
    </row>
    <row r="49" spans="1:12" ht="15.5">
      <c r="A49" s="53" t="s">
        <v>81</v>
      </c>
      <c r="B49" s="53"/>
      <c r="C49" s="53"/>
      <c r="D49" s="53"/>
      <c r="E49" s="53"/>
      <c r="F49" s="2"/>
      <c r="G49" s="2"/>
      <c r="H49" s="52" t="s">
        <v>42</v>
      </c>
      <c r="I49" s="52"/>
      <c r="J49" s="52"/>
      <c r="K49" s="52"/>
      <c r="L49" s="13"/>
    </row>
    <row r="50" spans="1:12" ht="15.5">
      <c r="A50" s="56" t="s">
        <v>82</v>
      </c>
      <c r="B50" s="56"/>
      <c r="C50" s="56"/>
      <c r="D50" s="56"/>
      <c r="E50" s="56"/>
      <c r="F50" s="2"/>
      <c r="G50" s="2"/>
      <c r="H50" s="57" t="s">
        <v>66</v>
      </c>
      <c r="I50" s="57"/>
      <c r="J50" s="57"/>
      <c r="K50" s="57"/>
    </row>
    <row r="51" spans="1:12" ht="18">
      <c r="A51" s="16"/>
      <c r="B51"/>
      <c r="C51"/>
      <c r="D51"/>
      <c r="E51"/>
      <c r="F51" s="24"/>
    </row>
    <row r="52" spans="1:12">
      <c r="A52" s="25"/>
      <c r="B52" s="16"/>
      <c r="C52" s="16"/>
      <c r="D52"/>
      <c r="E52" s="51"/>
      <c r="F52" s="51"/>
    </row>
    <row r="53" spans="1:12">
      <c r="A53" s="26"/>
      <c r="B53" s="16"/>
      <c r="C53" s="16"/>
      <c r="D53"/>
      <c r="E53"/>
      <c r="F53"/>
    </row>
    <row r="54" spans="1:12">
      <c r="A54" s="16"/>
      <c r="B54" s="27"/>
      <c r="C54" s="48"/>
      <c r="D54"/>
      <c r="E54"/>
      <c r="F54"/>
    </row>
    <row r="55" spans="1:12">
      <c r="A55" s="28"/>
      <c r="B55" s="16"/>
      <c r="C55" s="16"/>
      <c r="D55"/>
      <c r="E55" s="58"/>
      <c r="F55" s="59"/>
    </row>
    <row r="56" spans="1:12">
      <c r="A56" s="25"/>
      <c r="B56"/>
      <c r="C56"/>
      <c r="D56"/>
      <c r="E56" s="51"/>
      <c r="F56" s="51"/>
    </row>
  </sheetData>
  <sheetProtection selectLockedCells="1" selectUnlockedCells="1"/>
  <mergeCells count="65">
    <mergeCell ref="J34:K34"/>
    <mergeCell ref="A13:F13"/>
    <mergeCell ref="J31:K31"/>
    <mergeCell ref="H31:I31"/>
    <mergeCell ref="H33:I33"/>
    <mergeCell ref="A23:K23"/>
    <mergeCell ref="A25:K25"/>
    <mergeCell ref="B31:E31"/>
    <mergeCell ref="H29:I30"/>
    <mergeCell ref="F32:G32"/>
    <mergeCell ref="A4:K4"/>
    <mergeCell ref="A5:K5"/>
    <mergeCell ref="A6:K6"/>
    <mergeCell ref="J29:K30"/>
    <mergeCell ref="A16:F16"/>
    <mergeCell ref="A17:F17"/>
    <mergeCell ref="B18:D18"/>
    <mergeCell ref="A29:A30"/>
    <mergeCell ref="B29:E30"/>
    <mergeCell ref="F29:G30"/>
    <mergeCell ref="H32:I32"/>
    <mergeCell ref="H44:K44"/>
    <mergeCell ref="A34:G34"/>
    <mergeCell ref="H34:I34"/>
    <mergeCell ref="A44:E44"/>
    <mergeCell ref="H36:I36"/>
    <mergeCell ref="A36:G36"/>
    <mergeCell ref="J36:K36"/>
    <mergeCell ref="A43:E43"/>
    <mergeCell ref="H43:K43"/>
    <mergeCell ref="J35:K35"/>
    <mergeCell ref="H35:I35"/>
    <mergeCell ref="F31:G31"/>
    <mergeCell ref="A1:K1"/>
    <mergeCell ref="A2:K2"/>
    <mergeCell ref="A3:K3"/>
    <mergeCell ref="B33:E33"/>
    <mergeCell ref="F33:G33"/>
    <mergeCell ref="J32:K32"/>
    <mergeCell ref="J33:K33"/>
    <mergeCell ref="B32:E32"/>
    <mergeCell ref="H9:K9"/>
    <mergeCell ref="A7:K7"/>
    <mergeCell ref="A8:K8"/>
    <mergeCell ref="A11:F11"/>
    <mergeCell ref="A12:F12"/>
    <mergeCell ref="A21:E21"/>
    <mergeCell ref="A15:F15"/>
    <mergeCell ref="A28:K28"/>
    <mergeCell ref="E56:F56"/>
    <mergeCell ref="H49:K49"/>
    <mergeCell ref="A49:E49"/>
    <mergeCell ref="B35:E35"/>
    <mergeCell ref="A48:E48"/>
    <mergeCell ref="H48:K48"/>
    <mergeCell ref="E52:F52"/>
    <mergeCell ref="A50:E50"/>
    <mergeCell ref="H50:K50"/>
    <mergeCell ref="E55:F55"/>
    <mergeCell ref="A46:E46"/>
    <mergeCell ref="A45:E45"/>
    <mergeCell ref="A41:K41"/>
    <mergeCell ref="A39:K39"/>
    <mergeCell ref="H45:K45"/>
    <mergeCell ref="F35:G35"/>
  </mergeCells>
  <pageMargins left="0.78" right="0.11811023622047244" top="0.45" bottom="0.11811023622047244" header="0.73" footer="0.15748031496062992"/>
  <pageSetup paperSize="9" firstPageNumber="0" orientation="portrait" horizontalDpi="4294967293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4"/>
  <sheetViews>
    <sheetView zoomScaleNormal="100" zoomScaleSheetLayoutView="100" workbookViewId="0">
      <selection activeCell="E9" sqref="E9"/>
    </sheetView>
  </sheetViews>
  <sheetFormatPr defaultColWidth="9" defaultRowHeight="14.5"/>
  <cols>
    <col min="1" max="1" width="4.7265625" style="30" customWidth="1"/>
    <col min="2" max="2" width="31.1796875" style="20" customWidth="1"/>
    <col min="3" max="3" width="18" style="20" customWidth="1"/>
    <col min="4" max="4" width="14.54296875" style="20" customWidth="1"/>
    <col min="5" max="6" width="11.26953125" style="20" customWidth="1"/>
    <col min="7" max="7" width="13.7265625" style="20" customWidth="1"/>
    <col min="8" max="8" width="2.26953125" style="20" customWidth="1"/>
    <col min="9" max="9" width="12.6328125" style="49" bestFit="1" customWidth="1"/>
    <col min="10" max="16384" width="9" style="20"/>
  </cols>
  <sheetData>
    <row r="1" spans="1:9" ht="22.5" customHeight="1">
      <c r="A1" s="103" t="s">
        <v>72</v>
      </c>
      <c r="B1" s="103"/>
      <c r="C1" s="103"/>
      <c r="D1" s="103"/>
      <c r="E1" s="103"/>
      <c r="F1" s="103"/>
      <c r="G1" s="103"/>
    </row>
    <row r="2" spans="1:9" ht="21.75" customHeight="1">
      <c r="A2" s="103" t="s">
        <v>60</v>
      </c>
      <c r="B2" s="103"/>
      <c r="C2" s="103"/>
      <c r="D2" s="103"/>
      <c r="E2" s="103"/>
      <c r="F2" s="103"/>
      <c r="G2" s="103"/>
    </row>
    <row r="3" spans="1:9" ht="19.5" customHeight="1">
      <c r="A3" s="103" t="s">
        <v>76</v>
      </c>
      <c r="B3" s="103"/>
      <c r="C3" s="103"/>
      <c r="D3" s="103"/>
      <c r="E3" s="103"/>
      <c r="F3" s="103"/>
      <c r="G3" s="103"/>
    </row>
    <row r="4" spans="1:9" ht="17" customHeight="1"/>
    <row r="5" spans="1:9" s="23" customFormat="1" ht="18.75" customHeight="1">
      <c r="A5" s="107" t="s">
        <v>17</v>
      </c>
      <c r="B5" s="109" t="s">
        <v>18</v>
      </c>
      <c r="C5" s="111" t="s">
        <v>19</v>
      </c>
      <c r="D5" s="113" t="s">
        <v>20</v>
      </c>
      <c r="E5" s="115" t="s">
        <v>84</v>
      </c>
      <c r="F5" s="116"/>
      <c r="G5" s="107" t="s">
        <v>21</v>
      </c>
      <c r="I5" s="49"/>
    </row>
    <row r="6" spans="1:9" s="23" customFormat="1" ht="26.25" customHeight="1">
      <c r="A6" s="108"/>
      <c r="B6" s="110"/>
      <c r="C6" s="112"/>
      <c r="D6" s="114"/>
      <c r="E6" s="21" t="s">
        <v>22</v>
      </c>
      <c r="F6" s="21" t="s">
        <v>58</v>
      </c>
      <c r="G6" s="108"/>
      <c r="I6" s="49"/>
    </row>
    <row r="7" spans="1:9" ht="18" customHeight="1">
      <c r="A7" s="31">
        <v>1</v>
      </c>
      <c r="B7" s="38" t="s">
        <v>31</v>
      </c>
      <c r="C7" s="33" t="s">
        <v>44</v>
      </c>
      <c r="D7" s="34">
        <v>5250800</v>
      </c>
      <c r="E7" s="35">
        <f>D7*2.5%</f>
        <v>131270</v>
      </c>
      <c r="F7" s="36"/>
      <c r="G7" s="37">
        <f>D7-E7-F7</f>
        <v>5119530</v>
      </c>
    </row>
    <row r="8" spans="1:9" ht="18" customHeight="1">
      <c r="A8" s="31">
        <v>2</v>
      </c>
      <c r="B8" s="39" t="s">
        <v>32</v>
      </c>
      <c r="C8" s="33" t="s">
        <v>45</v>
      </c>
      <c r="D8" s="34">
        <v>5177500</v>
      </c>
      <c r="E8" s="35">
        <f t="shared" ref="E8:E20" si="0">D8*2.5%</f>
        <v>129437.5</v>
      </c>
      <c r="F8" s="36">
        <v>20000</v>
      </c>
      <c r="G8" s="37">
        <f t="shared" ref="G8:G20" si="1">D8-E8-F8</f>
        <v>5028062.5</v>
      </c>
    </row>
    <row r="9" spans="1:9" ht="18" customHeight="1">
      <c r="A9" s="31">
        <v>3</v>
      </c>
      <c r="B9" s="39" t="s">
        <v>33</v>
      </c>
      <c r="C9" s="33" t="s">
        <v>46</v>
      </c>
      <c r="D9" s="34">
        <v>5427000</v>
      </c>
      <c r="E9" s="35">
        <f t="shared" si="0"/>
        <v>135675</v>
      </c>
      <c r="F9" s="36"/>
      <c r="G9" s="37">
        <f t="shared" si="1"/>
        <v>5291325</v>
      </c>
    </row>
    <row r="10" spans="1:9" ht="18" customHeight="1">
      <c r="A10" s="31">
        <v>4</v>
      </c>
      <c r="B10" s="39" t="s">
        <v>34</v>
      </c>
      <c r="C10" s="33" t="s">
        <v>47</v>
      </c>
      <c r="D10" s="34">
        <v>5522600</v>
      </c>
      <c r="E10" s="35">
        <f t="shared" si="0"/>
        <v>138065</v>
      </c>
      <c r="F10" s="36"/>
      <c r="G10" s="37">
        <f t="shared" si="1"/>
        <v>5384535</v>
      </c>
    </row>
    <row r="11" spans="1:9" ht="18" customHeight="1">
      <c r="A11" s="31">
        <v>5</v>
      </c>
      <c r="B11" s="39" t="s">
        <v>35</v>
      </c>
      <c r="C11" s="40" t="s">
        <v>48</v>
      </c>
      <c r="D11" s="34">
        <v>5061000</v>
      </c>
      <c r="E11" s="35">
        <f t="shared" si="0"/>
        <v>126525</v>
      </c>
      <c r="F11" s="36"/>
      <c r="G11" s="37">
        <f t="shared" si="1"/>
        <v>4934475</v>
      </c>
    </row>
    <row r="12" spans="1:9" ht="18" customHeight="1">
      <c r="A12" s="31">
        <v>6</v>
      </c>
      <c r="B12" s="32" t="s">
        <v>36</v>
      </c>
      <c r="C12" s="33" t="s">
        <v>49</v>
      </c>
      <c r="D12" s="34">
        <v>4605900</v>
      </c>
      <c r="E12" s="35">
        <f t="shared" si="0"/>
        <v>115147.5</v>
      </c>
      <c r="F12" s="36"/>
      <c r="G12" s="37">
        <f t="shared" si="1"/>
        <v>4490752.5</v>
      </c>
    </row>
    <row r="13" spans="1:9" ht="18" customHeight="1">
      <c r="A13" s="31">
        <v>7</v>
      </c>
      <c r="B13" s="32" t="s">
        <v>37</v>
      </c>
      <c r="C13" s="33" t="s">
        <v>50</v>
      </c>
      <c r="D13" s="34">
        <v>4390900</v>
      </c>
      <c r="E13" s="35">
        <f t="shared" si="0"/>
        <v>109772.5</v>
      </c>
      <c r="F13" s="36"/>
      <c r="G13" s="37">
        <f t="shared" si="1"/>
        <v>4281127.5</v>
      </c>
    </row>
    <row r="14" spans="1:9" ht="18" customHeight="1">
      <c r="A14" s="31">
        <v>8</v>
      </c>
      <c r="B14" s="32" t="s">
        <v>38</v>
      </c>
      <c r="C14" s="33" t="s">
        <v>51</v>
      </c>
      <c r="D14" s="34">
        <v>4273900</v>
      </c>
      <c r="E14" s="35">
        <f t="shared" si="0"/>
        <v>106847.5</v>
      </c>
      <c r="F14" s="36">
        <v>20000</v>
      </c>
      <c r="G14" s="37">
        <f t="shared" si="1"/>
        <v>4147052.5</v>
      </c>
    </row>
    <row r="15" spans="1:9" ht="18" customHeight="1">
      <c r="A15" s="31">
        <v>9</v>
      </c>
      <c r="B15" s="39" t="s">
        <v>39</v>
      </c>
      <c r="C15" s="33" t="s">
        <v>52</v>
      </c>
      <c r="D15" s="34">
        <v>4130300</v>
      </c>
      <c r="E15" s="35">
        <f t="shared" si="0"/>
        <v>103257.5</v>
      </c>
      <c r="F15" s="36">
        <v>20000</v>
      </c>
      <c r="G15" s="37">
        <f t="shared" si="1"/>
        <v>4007042.5</v>
      </c>
    </row>
    <row r="16" spans="1:9" ht="18" customHeight="1">
      <c r="A16" s="31">
        <v>10</v>
      </c>
      <c r="B16" s="32" t="s">
        <v>40</v>
      </c>
      <c r="C16" s="33" t="s">
        <v>53</v>
      </c>
      <c r="D16" s="34">
        <v>4617100</v>
      </c>
      <c r="E16" s="35">
        <f t="shared" si="0"/>
        <v>115427.5</v>
      </c>
      <c r="F16" s="36">
        <v>20000</v>
      </c>
      <c r="G16" s="37">
        <f t="shared" si="1"/>
        <v>4481672.5</v>
      </c>
    </row>
    <row r="17" spans="1:10" ht="18" customHeight="1">
      <c r="A17" s="31">
        <v>11</v>
      </c>
      <c r="B17" s="32" t="s">
        <v>41</v>
      </c>
      <c r="C17" s="33" t="s">
        <v>54</v>
      </c>
      <c r="D17" s="34">
        <v>4021200</v>
      </c>
      <c r="E17" s="35">
        <f t="shared" si="0"/>
        <v>100530</v>
      </c>
      <c r="F17" s="36">
        <v>20000</v>
      </c>
      <c r="G17" s="37">
        <f t="shared" si="1"/>
        <v>3900670</v>
      </c>
    </row>
    <row r="18" spans="1:10" ht="18" customHeight="1">
      <c r="A18" s="31">
        <v>12</v>
      </c>
      <c r="B18" s="32" t="s">
        <v>59</v>
      </c>
      <c r="C18" s="33" t="s">
        <v>55</v>
      </c>
      <c r="D18" s="34">
        <v>3205200</v>
      </c>
      <c r="E18" s="35">
        <f t="shared" si="0"/>
        <v>80130</v>
      </c>
      <c r="F18" s="36"/>
      <c r="G18" s="37">
        <f t="shared" si="1"/>
        <v>3125070</v>
      </c>
    </row>
    <row r="19" spans="1:10" ht="18" customHeight="1">
      <c r="A19" s="31">
        <v>13</v>
      </c>
      <c r="B19" s="32" t="s">
        <v>42</v>
      </c>
      <c r="C19" s="33" t="s">
        <v>56</v>
      </c>
      <c r="D19" s="34">
        <v>3415600</v>
      </c>
      <c r="E19" s="35">
        <f t="shared" si="0"/>
        <v>85390</v>
      </c>
      <c r="F19" s="36">
        <v>20000</v>
      </c>
      <c r="G19" s="37">
        <f t="shared" si="1"/>
        <v>3310210</v>
      </c>
    </row>
    <row r="20" spans="1:10" ht="18" customHeight="1">
      <c r="A20" s="31">
        <v>14</v>
      </c>
      <c r="B20" s="32" t="s">
        <v>43</v>
      </c>
      <c r="C20" s="33" t="s">
        <v>57</v>
      </c>
      <c r="D20" s="34">
        <v>2651500</v>
      </c>
      <c r="E20" s="35">
        <f t="shared" si="0"/>
        <v>66287.5</v>
      </c>
      <c r="F20" s="36">
        <v>20000</v>
      </c>
      <c r="G20" s="37">
        <f t="shared" si="1"/>
        <v>2565212.5</v>
      </c>
    </row>
    <row r="21" spans="1:10" s="23" customFormat="1" ht="19.5" customHeight="1">
      <c r="A21" s="104" t="s">
        <v>27</v>
      </c>
      <c r="B21" s="105"/>
      <c r="C21" s="106"/>
      <c r="D21" s="22">
        <f>SUM(D7:D20)</f>
        <v>61750500</v>
      </c>
      <c r="E21" s="22">
        <f>SUM(E7:E20)</f>
        <v>1543762.5</v>
      </c>
      <c r="F21" s="22">
        <f>SUM(F7:F20)</f>
        <v>140000</v>
      </c>
      <c r="G21" s="22">
        <f>SUM(G7:G20)</f>
        <v>60066737.5</v>
      </c>
      <c r="I21" s="49"/>
      <c r="J21" s="20"/>
    </row>
    <row r="22" spans="1:10">
      <c r="A22" s="41"/>
      <c r="B22" s="42"/>
      <c r="C22" s="42"/>
      <c r="D22" s="43"/>
      <c r="E22" s="43"/>
      <c r="F22" s="43"/>
      <c r="G22" s="43"/>
    </row>
    <row r="23" spans="1:10">
      <c r="A23" s="41"/>
      <c r="B23" s="42"/>
      <c r="C23" s="42"/>
      <c r="D23" s="42"/>
      <c r="E23" s="42"/>
      <c r="F23" s="42"/>
    </row>
    <row r="24" spans="1:10" ht="15.5">
      <c r="A24" s="41"/>
      <c r="B24" s="42"/>
      <c r="C24" s="42"/>
      <c r="D24" s="44"/>
      <c r="E24" s="44"/>
      <c r="F24" s="44" t="s">
        <v>15</v>
      </c>
    </row>
    <row r="25" spans="1:10" ht="15.5">
      <c r="D25" s="44"/>
      <c r="E25" s="44"/>
      <c r="F25" s="44" t="s">
        <v>83</v>
      </c>
    </row>
    <row r="26" spans="1:10" ht="15.5">
      <c r="D26" s="44"/>
      <c r="E26" s="44"/>
      <c r="F26" s="44"/>
    </row>
    <row r="27" spans="1:10" ht="15.5">
      <c r="D27" s="44"/>
      <c r="E27" s="44"/>
      <c r="F27" s="44"/>
    </row>
    <row r="28" spans="1:10" ht="15.5">
      <c r="D28" s="44"/>
      <c r="E28" s="44"/>
      <c r="F28" s="44"/>
    </row>
    <row r="29" spans="1:10" ht="18">
      <c r="D29" s="45"/>
      <c r="E29" s="45"/>
      <c r="F29" s="46" t="str">
        <f>PENGANTAR!A49</f>
        <v>SUBUH ONI WIYONO, SE., MM.</v>
      </c>
    </row>
    <row r="30" spans="1:10" ht="15.5">
      <c r="D30" s="44"/>
      <c r="E30" s="44"/>
      <c r="F30" s="44" t="str">
        <f>PENGANTAR!A50</f>
        <v>NIP. 19680331 199603 1 007</v>
      </c>
    </row>
    <row r="34" spans="5:6">
      <c r="E34" s="47"/>
      <c r="F34" s="41"/>
    </row>
  </sheetData>
  <sheetProtection selectLockedCells="1" selectUnlockedCells="1"/>
  <mergeCells count="10">
    <mergeCell ref="A1:G1"/>
    <mergeCell ref="A2:G2"/>
    <mergeCell ref="A3:G3"/>
    <mergeCell ref="A21:C21"/>
    <mergeCell ref="A5:A6"/>
    <mergeCell ref="B5:B6"/>
    <mergeCell ref="C5:C6"/>
    <mergeCell ref="D5:D6"/>
    <mergeCell ref="G5:G6"/>
    <mergeCell ref="E5:F5"/>
  </mergeCells>
  <pageMargins left="0.41" right="0.12" top="0.75" bottom="0.75" header="0.51180555555555551" footer="0.51180555555555551"/>
  <pageSetup paperSize="9" scale="94" firstPageNumber="0" fitToHeight="0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PENGANTAR</vt:lpstr>
      <vt:lpstr>DATA PRINT</vt:lpstr>
      <vt:lpstr>PENGANTAR!Print_Area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</dc:creator>
  <cp:lastModifiedBy>Hardi Agunadi</cp:lastModifiedBy>
  <cp:lastPrinted>2026-02-13T06:18:58Z</cp:lastPrinted>
  <dcterms:created xsi:type="dcterms:W3CDTF">2019-05-10T04:01:12Z</dcterms:created>
  <dcterms:modified xsi:type="dcterms:W3CDTF">2026-02-13T06:23:40Z</dcterms:modified>
</cp:coreProperties>
</file>