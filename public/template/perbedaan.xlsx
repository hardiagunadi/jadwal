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gun\Desktop\"/>
    </mc:Choice>
  </mc:AlternateContent>
  <xr:revisionPtr revIDLastSave="0" documentId="8_{F1527DB1-D966-4534-A79E-9C43627ED80E}" xr6:coauthVersionLast="47" xr6:coauthVersionMax="47" xr10:uidLastSave="{00000000-0000-0000-0000-000000000000}"/>
  <bookViews>
    <workbookView xWindow="-110" yWindow="-110" windowWidth="19420" windowHeight="10420" xr2:uid="{14F36797-8657-418C-83BE-5EB53611A02C}"/>
  </bookViews>
  <sheets>
    <sheet name="PERBEDAAN" sheetId="1" r:id="rId1"/>
  </sheets>
  <externalReferences>
    <externalReference r:id="rId2"/>
    <externalReference r:id="rId3"/>
    <externalReference r:id="rId4"/>
    <externalReference r:id="rId5"/>
  </externalReferences>
  <definedNames>
    <definedName name="anak_C">'[1]ENTRI DATA'!$F$4:$F$24</definedName>
    <definedName name="c_jukot">'[1]ENTRI DATA'!$Q$4:$Q$24</definedName>
    <definedName name="dada">'[1]ENTRI DATA'!$C$4:$T$19</definedName>
    <definedName name="data">'[1]ENTRI DATA'!$C$4:$T$24</definedName>
    <definedName name="g_gapok">[1]KUNCI!$G$25</definedName>
    <definedName name="g_keluarga">[1]KUNCI!$K$25</definedName>
    <definedName name="g_tjab">[1]KUNCI!#REF!</definedName>
    <definedName name="gapok_c">'[1]ENTRI DATA'!$G$4:$G$24</definedName>
    <definedName name="gbul">[1]KUNCI!$R$25</definedName>
    <definedName name="gol_C">'[1]ENTRI DATA'!$C$4:$C$24</definedName>
    <definedName name="gpjak">[1]KUNCI!$Q$25</definedName>
    <definedName name="gtjab">[1]KUNCI!$L$25</definedName>
    <definedName name="gtmum">[1]KUNCI!$M$25</definedName>
    <definedName name="gtras">[1]KUNCI!$P$25</definedName>
    <definedName name="hasil_kotor">[1]KUNCI!$T$5</definedName>
    <definedName name="istri_C">'[1]ENTRI DATA'!$E$4:$E$24</definedName>
    <definedName name="iwpC1">'[1]ENTRI DATA'!$R$4:$R$24</definedName>
    <definedName name="iwpc8">'[1]ENTRI DATA'!$S$4:$S$24</definedName>
    <definedName name="jml_diminta">[1]SPP1!$E$29</definedName>
    <definedName name="jml_kotor">[1]KUNCI!$Y$5</definedName>
    <definedName name="peg_c">'[1]ENTRI DATA'!$D$4:$D$24</definedName>
    <definedName name="_xlnm.Print_Area" localSheetId="0">PERBEDAAN!$A$1:$W$39</definedName>
    <definedName name="terss">[1]SPP1!$E$24</definedName>
    <definedName name="tuna_c">'[1]ENTRI DATA'!$I$4:$I$24</definedName>
    <definedName name="tunc_ber">'[1]ENTRI DATA'!$N$4:$N$24</definedName>
    <definedName name="tunc_bulat">'[1]ENTRI DATA'!$P$4:$P$24</definedName>
    <definedName name="tunc_esel">'[1]ENTRI DATA'!$J$4:$J$24</definedName>
    <definedName name="tunc_fu">'[1]ENTRI DATA'!$L$4:$L$24</definedName>
    <definedName name="tunc_paj">'[1]ENTRI DATA'!$O$4:$O$24</definedName>
    <definedName name="tunc_um">'[1]ENTRI DATA'!$K$4:$K$24</definedName>
    <definedName name="tunis_C">'[1]ENTRI DATA'!$H$4:$H$24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D10" i="1"/>
  <c r="E10" i="1"/>
  <c r="F10" i="1"/>
  <c r="G10" i="1" s="1"/>
  <c r="H10" i="1"/>
  <c r="I10" i="1"/>
  <c r="J10" i="1"/>
  <c r="K10" i="1"/>
  <c r="M10" i="1"/>
  <c r="W10" i="1" s="1"/>
  <c r="D11" i="1"/>
  <c r="G11" i="1" s="1"/>
  <c r="E11" i="1"/>
  <c r="F11" i="1"/>
  <c r="H11" i="1"/>
  <c r="I11" i="1"/>
  <c r="N11" i="1" s="1"/>
  <c r="J11" i="1"/>
  <c r="K11" i="1"/>
  <c r="M11" i="1"/>
  <c r="W11" i="1" s="1"/>
  <c r="D12" i="1"/>
  <c r="E12" i="1"/>
  <c r="G12" i="1" s="1"/>
  <c r="F12" i="1"/>
  <c r="H12" i="1"/>
  <c r="I12" i="1"/>
  <c r="J12" i="1"/>
  <c r="K12" i="1"/>
  <c r="M12" i="1"/>
  <c r="W12" i="1" s="1"/>
  <c r="D13" i="1"/>
  <c r="G13" i="1" s="1"/>
  <c r="E13" i="1"/>
  <c r="F13" i="1"/>
  <c r="H13" i="1"/>
  <c r="I13" i="1"/>
  <c r="J13" i="1"/>
  <c r="K13" i="1"/>
  <c r="M13" i="1"/>
  <c r="W13" i="1" s="1"/>
  <c r="D14" i="1"/>
  <c r="G14" i="1" s="1"/>
  <c r="E14" i="1"/>
  <c r="F14" i="1"/>
  <c r="H14" i="1"/>
  <c r="P14" i="1"/>
  <c r="Q14" i="1"/>
  <c r="R14" i="1"/>
  <c r="S14" i="1"/>
  <c r="T14" i="1"/>
  <c r="U14" i="1"/>
  <c r="V14" i="1"/>
  <c r="V30" i="1" s="1"/>
  <c r="D15" i="1"/>
  <c r="E15" i="1"/>
  <c r="F15" i="1"/>
  <c r="H15" i="1"/>
  <c r="I15" i="1"/>
  <c r="J15" i="1"/>
  <c r="K15" i="1"/>
  <c r="M15" i="1"/>
  <c r="W15" i="1" s="1"/>
  <c r="D16" i="1"/>
  <c r="E16" i="1"/>
  <c r="G16" i="1" s="1"/>
  <c r="F16" i="1"/>
  <c r="H16" i="1"/>
  <c r="I16" i="1"/>
  <c r="O16" i="1" s="1"/>
  <c r="J16" i="1"/>
  <c r="K16" i="1"/>
  <c r="K19" i="1" s="1"/>
  <c r="M16" i="1"/>
  <c r="W16" i="1" s="1"/>
  <c r="D17" i="1"/>
  <c r="E17" i="1"/>
  <c r="G17" i="1" s="1"/>
  <c r="F17" i="1"/>
  <c r="H17" i="1"/>
  <c r="I17" i="1"/>
  <c r="O17" i="1" s="1"/>
  <c r="J17" i="1"/>
  <c r="K17" i="1"/>
  <c r="M17" i="1"/>
  <c r="W17" i="1"/>
  <c r="D18" i="1"/>
  <c r="G18" i="1" s="1"/>
  <c r="E18" i="1"/>
  <c r="F18" i="1"/>
  <c r="H18" i="1"/>
  <c r="I18" i="1"/>
  <c r="J18" i="1"/>
  <c r="K18" i="1"/>
  <c r="M18" i="1"/>
  <c r="W18" i="1" s="1"/>
  <c r="D19" i="1"/>
  <c r="G19" i="1" s="1"/>
  <c r="E19" i="1"/>
  <c r="F19" i="1"/>
  <c r="H19" i="1"/>
  <c r="P19" i="1"/>
  <c r="Q19" i="1"/>
  <c r="R19" i="1"/>
  <c r="S19" i="1"/>
  <c r="T19" i="1"/>
  <c r="V19" i="1"/>
  <c r="D20" i="1"/>
  <c r="G20" i="1" s="1"/>
  <c r="E20" i="1"/>
  <c r="F20" i="1"/>
  <c r="H20" i="1"/>
  <c r="I20" i="1"/>
  <c r="J20" i="1"/>
  <c r="K20" i="1"/>
  <c r="M20" i="1"/>
  <c r="W20" i="1" s="1"/>
  <c r="D21" i="1"/>
  <c r="G21" i="1" s="1"/>
  <c r="E21" i="1"/>
  <c r="F21" i="1"/>
  <c r="H21" i="1"/>
  <c r="I21" i="1"/>
  <c r="J21" i="1"/>
  <c r="K21" i="1"/>
  <c r="R21" i="1" s="1"/>
  <c r="R24" i="1" s="1"/>
  <c r="R30" i="1" s="1"/>
  <c r="L21" i="1"/>
  <c r="M21" i="1"/>
  <c r="W21" i="1" s="1"/>
  <c r="N21" i="1"/>
  <c r="D22" i="1"/>
  <c r="E22" i="1"/>
  <c r="F22" i="1"/>
  <c r="G22" i="1"/>
  <c r="H22" i="1"/>
  <c r="I22" i="1"/>
  <c r="L22" i="1" s="1"/>
  <c r="J22" i="1"/>
  <c r="K22" i="1"/>
  <c r="M22" i="1"/>
  <c r="W22" i="1" s="1"/>
  <c r="D23" i="1"/>
  <c r="E23" i="1"/>
  <c r="F23" i="1"/>
  <c r="H23" i="1"/>
  <c r="W23" i="1" s="1"/>
  <c r="I23" i="1"/>
  <c r="L23" i="1" s="1"/>
  <c r="J23" i="1"/>
  <c r="K23" i="1"/>
  <c r="M23" i="1"/>
  <c r="D24" i="1"/>
  <c r="G24" i="1" s="1"/>
  <c r="E24" i="1"/>
  <c r="F24" i="1"/>
  <c r="H24" i="1"/>
  <c r="Q24" i="1"/>
  <c r="S24" i="1"/>
  <c r="U24" i="1"/>
  <c r="V24" i="1"/>
  <c r="D25" i="1"/>
  <c r="D29" i="1" s="1"/>
  <c r="E25" i="1"/>
  <c r="F25" i="1"/>
  <c r="H25" i="1"/>
  <c r="H29" i="1" s="1"/>
  <c r="I25" i="1"/>
  <c r="J25" i="1"/>
  <c r="K25" i="1"/>
  <c r="S25" i="1" s="1"/>
  <c r="S29" i="1" s="1"/>
  <c r="M25" i="1"/>
  <c r="W25" i="1" s="1"/>
  <c r="D26" i="1"/>
  <c r="E26" i="1"/>
  <c r="F26" i="1"/>
  <c r="H26" i="1"/>
  <c r="I26" i="1"/>
  <c r="L26" i="1" s="1"/>
  <c r="J26" i="1"/>
  <c r="K26" i="1"/>
  <c r="M26" i="1"/>
  <c r="W26" i="1" s="1"/>
  <c r="D27" i="1"/>
  <c r="G27" i="1" s="1"/>
  <c r="E27" i="1"/>
  <c r="F27" i="1"/>
  <c r="F29" i="1" s="1"/>
  <c r="H27" i="1"/>
  <c r="I27" i="1"/>
  <c r="L27" i="1" s="1"/>
  <c r="J27" i="1"/>
  <c r="K27" i="1"/>
  <c r="M27" i="1"/>
  <c r="W27" i="1" s="1"/>
  <c r="N27" i="1"/>
  <c r="D28" i="1"/>
  <c r="E28" i="1"/>
  <c r="F28" i="1"/>
  <c r="H28" i="1"/>
  <c r="I28" i="1"/>
  <c r="J28" i="1"/>
  <c r="P28" i="1" s="1"/>
  <c r="P29" i="1" s="1"/>
  <c r="K28" i="1"/>
  <c r="R28" i="1" s="1"/>
  <c r="R29" i="1" s="1"/>
  <c r="L28" i="1"/>
  <c r="M28" i="1"/>
  <c r="W28" i="1"/>
  <c r="E29" i="1"/>
  <c r="E30" i="1" s="1"/>
  <c r="V29" i="1"/>
  <c r="S32" i="1"/>
  <c r="S38" i="1"/>
  <c r="S39" i="1"/>
  <c r="L11" i="1" l="1"/>
  <c r="M29" i="1"/>
  <c r="W29" i="1" s="1"/>
  <c r="N26" i="1"/>
  <c r="K24" i="1"/>
  <c r="L15" i="1"/>
  <c r="L10" i="1"/>
  <c r="J14" i="1"/>
  <c r="K29" i="1"/>
  <c r="J24" i="1"/>
  <c r="I19" i="1"/>
  <c r="S30" i="1"/>
  <c r="L12" i="1"/>
  <c r="N23" i="1"/>
  <c r="L20" i="1"/>
  <c r="K14" i="1"/>
  <c r="K30" i="1" s="1"/>
  <c r="O12" i="1"/>
  <c r="L17" i="1"/>
  <c r="N17" i="1"/>
  <c r="N12" i="1"/>
  <c r="L16" i="1"/>
  <c r="L25" i="1"/>
  <c r="L18" i="1"/>
  <c r="N16" i="1"/>
  <c r="L13" i="1"/>
  <c r="N28" i="1"/>
  <c r="T28" i="1" s="1"/>
  <c r="T29" i="1" s="1"/>
  <c r="T30" i="1" s="1"/>
  <c r="I29" i="1"/>
  <c r="L29" i="1" s="1"/>
  <c r="P21" i="1"/>
  <c r="P24" i="1" s="1"/>
  <c r="N15" i="1"/>
  <c r="T21" i="1"/>
  <c r="T24" i="1" s="1"/>
  <c r="F30" i="1"/>
  <c r="P30" i="1"/>
  <c r="J29" i="1"/>
  <c r="M24" i="1"/>
  <c r="W24" i="1" s="1"/>
  <c r="N22" i="1"/>
  <c r="M19" i="1"/>
  <c r="W19" i="1" s="1"/>
  <c r="M14" i="1"/>
  <c r="Q25" i="1"/>
  <c r="Q29" i="1" s="1"/>
  <c r="Q30" i="1" s="1"/>
  <c r="O22" i="1"/>
  <c r="G26" i="1"/>
  <c r="O25" i="1"/>
  <c r="O29" i="1" s="1"/>
  <c r="G25" i="1"/>
  <c r="G23" i="1"/>
  <c r="O15" i="1"/>
  <c r="G15" i="1"/>
  <c r="O10" i="1"/>
  <c r="D30" i="1"/>
  <c r="G28" i="1"/>
  <c r="N25" i="1"/>
  <c r="O20" i="1"/>
  <c r="J19" i="1"/>
  <c r="O18" i="1"/>
  <c r="O13" i="1"/>
  <c r="N10" i="1"/>
  <c r="I24" i="1"/>
  <c r="L24" i="1" s="1"/>
  <c r="N20" i="1"/>
  <c r="N18" i="1"/>
  <c r="I14" i="1"/>
  <c r="N13" i="1"/>
  <c r="O11" i="1"/>
  <c r="H30" i="1"/>
  <c r="M30" i="1" l="1"/>
  <c r="W30" i="1" s="1"/>
  <c r="O19" i="1"/>
  <c r="L19" i="1"/>
  <c r="O24" i="1"/>
  <c r="N19" i="1"/>
  <c r="N29" i="1"/>
  <c r="J30" i="1"/>
  <c r="I30" i="1"/>
  <c r="L14" i="1"/>
  <c r="L30" i="1" s="1"/>
  <c r="G29" i="1"/>
  <c r="G30" i="1" s="1"/>
  <c r="U25" i="1"/>
  <c r="U29" i="1" s="1"/>
  <c r="U30" i="1" s="1"/>
  <c r="N24" i="1"/>
  <c r="N14" i="1"/>
  <c r="N30" i="1" s="1"/>
  <c r="O14" i="1"/>
  <c r="W14" i="1"/>
  <c r="O30" i="1" l="1"/>
</calcChain>
</file>

<file path=xl/sharedStrings.xml><?xml version="1.0" encoding="utf-8"?>
<sst xmlns="http://schemas.openxmlformats.org/spreadsheetml/2006/main" count="79" uniqueCount="63">
  <si>
    <t>NIP. 19930702 202012 2 010</t>
  </si>
  <si>
    <t>DEWI ASMARANI H., A.Md</t>
  </si>
  <si>
    <t>Untuk Urusan Gaji</t>
  </si>
  <si>
    <t>Pembantu Bendahara Pengeluaran</t>
  </si>
  <si>
    <t>Bendahara Pengeluaran</t>
  </si>
  <si>
    <t>JUMLAH</t>
  </si>
  <si>
    <t>Jumlah Gol IV</t>
  </si>
  <si>
    <t>IV/D</t>
  </si>
  <si>
    <t>Gol. IV/d</t>
  </si>
  <si>
    <t>IV/C</t>
  </si>
  <si>
    <t>Gol. IV/c</t>
  </si>
  <si>
    <t>IV/B</t>
  </si>
  <si>
    <t>Gol. IV/b</t>
  </si>
  <si>
    <t>IV/A</t>
  </si>
  <si>
    <t>Gol. IV/a</t>
  </si>
  <si>
    <t>Jumlah Gol III</t>
  </si>
  <si>
    <t>III/D</t>
  </si>
  <si>
    <t>Gol. III/d</t>
  </si>
  <si>
    <t>III/C</t>
  </si>
  <si>
    <t>Gol. III/c</t>
  </si>
  <si>
    <t>III/B</t>
  </si>
  <si>
    <t>Gol. III/b</t>
  </si>
  <si>
    <t>III/A</t>
  </si>
  <si>
    <t>Gol. III/a</t>
  </si>
  <si>
    <t>Jumlah Gol II</t>
  </si>
  <si>
    <t>II/D</t>
  </si>
  <si>
    <t>Gol. II/d</t>
  </si>
  <si>
    <t>II/C</t>
  </si>
  <si>
    <t>Gol. II/c</t>
  </si>
  <si>
    <t>II/B</t>
  </si>
  <si>
    <t>Gol. II/b</t>
  </si>
  <si>
    <t>II/A</t>
  </si>
  <si>
    <t>Gol. II/a</t>
  </si>
  <si>
    <t>Jumlah Gol I</t>
  </si>
  <si>
    <t>I/D</t>
  </si>
  <si>
    <t>Gol. I/d</t>
  </si>
  <si>
    <t>I/C</t>
  </si>
  <si>
    <t>Gol. I/c</t>
  </si>
  <si>
    <t>I/B</t>
  </si>
  <si>
    <t>Gol. I/b</t>
  </si>
  <si>
    <t>I/A</t>
  </si>
  <si>
    <t>Gol. I/a</t>
  </si>
  <si>
    <t>KURANG</t>
  </si>
  <si>
    <t>TAMBAH</t>
  </si>
  <si>
    <t>JUMLAH KOTOR</t>
  </si>
  <si>
    <t>JIWA</t>
  </si>
  <si>
    <t>ANAK</t>
  </si>
  <si>
    <t>ISTRI</t>
  </si>
  <si>
    <t>PEGAWAI</t>
  </si>
  <si>
    <t>JML. KOTOR</t>
  </si>
  <si>
    <t>PEG.</t>
  </si>
  <si>
    <t>Ruang</t>
  </si>
  <si>
    <t>No</t>
  </si>
  <si>
    <t>III. PERBEDAAN</t>
  </si>
  <si>
    <t>II. Bulan : (diisi bulan berkenaan)</t>
  </si>
  <si>
    <t>I. Bulan : (diisi bulan lalu)</t>
  </si>
  <si>
    <t>Golongan/</t>
  </si>
  <si>
    <t>: 2.01.13.1.1.03.2</t>
  </si>
  <si>
    <t>KODE REKENING</t>
  </si>
  <si>
    <t>: KECAMATAN WATUMALANG</t>
  </si>
  <si>
    <t>BADAN / DINAS KANTOR</t>
  </si>
  <si>
    <t>GAJI BULAN</t>
  </si>
  <si>
    <t>DAFTAR PERBEDAAN JUMLAH PEGAWAI DAN PEMBAYARAN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</si>
</sst>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[$-F800]dddd\,\ mmmm\ dd\,\ yyyy"/>
  </numFmts>
  <fonts count="10" x14ac:knownFonts="1"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b/>
      <u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1" fillId="0" borderId="0"/>
  </cellStyleXfs>
  <cellXfs count="74">
    <xf numFmtId="0" fontId="0" fillId="0" borderId="0" xfId="0"/>
    <xf numFmtId="0" fontId="1" fillId="0" borderId="0" xfId="2"/>
    <xf numFmtId="3" fontId="1" fillId="0" borderId="0" xfId="2" applyNumberFormat="1"/>
    <xf numFmtId="0" fontId="2" fillId="0" borderId="0" xfId="2" applyFont="1"/>
    <xf numFmtId="164" fontId="1" fillId="0" borderId="0" xfId="2" applyNumberFormat="1"/>
    <xf numFmtId="0" fontId="1" fillId="0" borderId="0" xfId="2" applyAlignment="1">
      <alignment horizontal="center"/>
    </xf>
    <xf numFmtId="166" fontId="1" fillId="0" borderId="0" xfId="1" applyNumberFormat="1" applyFont="1" applyFill="1"/>
    <xf numFmtId="0" fontId="3" fillId="0" borderId="0" xfId="2" applyFont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 indent="2"/>
    </xf>
    <xf numFmtId="0" fontId="1" fillId="0" borderId="0" xfId="2" applyAlignment="1">
      <alignment horizontal="center"/>
    </xf>
    <xf numFmtId="0" fontId="4" fillId="0" borderId="0" xfId="2" applyFont="1" applyAlignment="1">
      <alignment horizontal="center"/>
    </xf>
    <xf numFmtId="166" fontId="3" fillId="0" borderId="0" xfId="1" applyNumberFormat="1" applyFont="1" applyFill="1" applyAlignment="1">
      <alignment horizontal="center"/>
    </xf>
    <xf numFmtId="0" fontId="5" fillId="0" borderId="0" xfId="2" applyFont="1" applyAlignment="1">
      <alignment horizontal="center"/>
    </xf>
    <xf numFmtId="166" fontId="3" fillId="0" borderId="0" xfId="1" applyNumberFormat="1" applyFont="1" applyFill="1"/>
    <xf numFmtId="164" fontId="3" fillId="0" borderId="0" xfId="2" applyNumberFormat="1" applyFont="1"/>
    <xf numFmtId="166" fontId="6" fillId="0" borderId="0" xfId="1" applyNumberFormat="1" applyFont="1" applyFill="1"/>
    <xf numFmtId="166" fontId="7" fillId="0" borderId="0" xfId="1" applyNumberFormat="1" applyFont="1" applyFill="1"/>
    <xf numFmtId="15" fontId="3" fillId="0" borderId="0" xfId="2" applyNumberFormat="1" applyFont="1" applyAlignment="1">
      <alignment horizontal="center"/>
    </xf>
    <xf numFmtId="164" fontId="8" fillId="0" borderId="1" xfId="2" applyNumberFormat="1" applyFont="1" applyBorder="1"/>
    <xf numFmtId="166" fontId="2" fillId="0" borderId="0" xfId="2" applyNumberFormat="1" applyFont="1"/>
    <xf numFmtId="164" fontId="8" fillId="0" borderId="2" xfId="2" applyNumberFormat="1" applyFont="1" applyBorder="1"/>
    <xf numFmtId="164" fontId="8" fillId="2" borderId="2" xfId="2" applyNumberFormat="1" applyFont="1" applyFill="1" applyBorder="1"/>
    <xf numFmtId="0" fontId="8" fillId="0" borderId="2" xfId="2" applyFont="1" applyBorder="1" applyAlignment="1">
      <alignment horizontal="center"/>
    </xf>
    <xf numFmtId="165" fontId="1" fillId="0" borderId="0" xfId="1" applyFont="1" applyFill="1"/>
    <xf numFmtId="165" fontId="9" fillId="0" borderId="0" xfId="1" applyFont="1" applyFill="1"/>
    <xf numFmtId="165" fontId="7" fillId="0" borderId="0" xfId="1" applyFont="1" applyFill="1"/>
    <xf numFmtId="164" fontId="3" fillId="0" borderId="2" xfId="2" applyNumberFormat="1" applyFont="1" applyBorder="1"/>
    <xf numFmtId="0" fontId="8" fillId="0" borderId="3" xfId="2" applyFont="1" applyBorder="1"/>
    <xf numFmtId="0" fontId="8" fillId="0" borderId="4" xfId="2" applyFont="1" applyBorder="1" applyAlignment="1">
      <alignment horizontal="center"/>
    </xf>
    <xf numFmtId="166" fontId="1" fillId="0" borderId="0" xfId="2" applyNumberFormat="1"/>
    <xf numFmtId="165" fontId="2" fillId="0" borderId="0" xfId="1" applyFont="1" applyFill="1"/>
    <xf numFmtId="0" fontId="3" fillId="0" borderId="5" xfId="2" applyFont="1" applyBorder="1"/>
    <xf numFmtId="0" fontId="3" fillId="0" borderId="6" xfId="2" applyFont="1" applyBorder="1" applyAlignment="1">
      <alignment horizontal="center"/>
    </xf>
    <xf numFmtId="166" fontId="2" fillId="0" borderId="0" xfId="1" applyNumberFormat="1" applyFont="1" applyFill="1"/>
    <xf numFmtId="0" fontId="3" fillId="0" borderId="7" xfId="2" applyFont="1" applyBorder="1" applyAlignment="1">
      <alignment horizontal="center"/>
    </xf>
    <xf numFmtId="164" fontId="2" fillId="0" borderId="0" xfId="2" applyNumberFormat="1" applyFont="1"/>
    <xf numFmtId="165" fontId="2" fillId="0" borderId="0" xfId="1" applyFont="1" applyFill="1" applyAlignment="1">
      <alignment horizontal="center"/>
    </xf>
    <xf numFmtId="0" fontId="8" fillId="0" borderId="6" xfId="2" applyFont="1" applyBorder="1" applyAlignment="1">
      <alignment horizontal="center"/>
    </xf>
    <xf numFmtId="0" fontId="2" fillId="0" borderId="0" xfId="2" applyFont="1" applyAlignment="1">
      <alignment horizontal="center"/>
    </xf>
    <xf numFmtId="166" fontId="6" fillId="0" borderId="0" xfId="1" quotePrefix="1" applyNumberFormat="1" applyFont="1" applyFill="1"/>
    <xf numFmtId="0" fontId="8" fillId="0" borderId="2" xfId="2" applyFont="1" applyBorder="1"/>
    <xf numFmtId="0" fontId="3" fillId="0" borderId="6" xfId="2" applyFont="1" applyBorder="1"/>
    <xf numFmtId="166" fontId="9" fillId="0" borderId="0" xfId="1" applyNumberFormat="1" applyFont="1" applyFill="1"/>
    <xf numFmtId="166" fontId="2" fillId="3" borderId="0" xfId="1" applyNumberFormat="1" applyFont="1" applyFill="1"/>
    <xf numFmtId="166" fontId="8" fillId="0" borderId="0" xfId="1" applyNumberFormat="1" applyFont="1" applyFill="1"/>
    <xf numFmtId="166" fontId="1" fillId="3" borderId="0" xfId="1" applyNumberFormat="1" applyFont="1" applyFill="1"/>
    <xf numFmtId="166" fontId="3" fillId="4" borderId="0" xfId="1" applyNumberFormat="1" applyFont="1" applyFill="1"/>
    <xf numFmtId="0" fontId="2" fillId="0" borderId="0" xfId="2" applyFont="1" applyAlignment="1">
      <alignment horizontal="right"/>
    </xf>
    <xf numFmtId="18" fontId="2" fillId="0" borderId="0" xfId="2" applyNumberFormat="1" applyFont="1" applyAlignment="1">
      <alignment horizontal="center"/>
    </xf>
    <xf numFmtId="0" fontId="2" fillId="3" borderId="0" xfId="2" applyFont="1" applyFill="1" applyAlignment="1">
      <alignment horizontal="right"/>
    </xf>
    <xf numFmtId="166" fontId="1" fillId="0" borderId="0" xfId="1" applyNumberFormat="1" applyFont="1" applyFill="1" applyAlignment="1">
      <alignment horizontal="right"/>
    </xf>
    <xf numFmtId="0" fontId="3" fillId="0" borderId="7" xfId="2" applyFont="1" applyBorder="1"/>
    <xf numFmtId="0" fontId="6" fillId="0" borderId="0" xfId="2" applyFont="1" applyAlignment="1">
      <alignment horizontal="right"/>
    </xf>
    <xf numFmtId="0" fontId="3" fillId="0" borderId="2" xfId="2" applyFont="1" applyBorder="1" applyAlignment="1">
      <alignment horizontal="center"/>
    </xf>
    <xf numFmtId="0" fontId="6" fillId="0" borderId="2" xfId="2" applyFont="1" applyBorder="1" applyAlignment="1">
      <alignment horizontal="center"/>
    </xf>
    <xf numFmtId="0" fontId="6" fillId="0" borderId="2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4" xfId="2" applyFont="1" applyBorder="1"/>
    <xf numFmtId="0" fontId="6" fillId="0" borderId="4" xfId="2" applyFont="1" applyBorder="1" applyAlignment="1">
      <alignment horizontal="center"/>
    </xf>
    <xf numFmtId="0" fontId="6" fillId="0" borderId="3" xfId="2" applyFont="1" applyBorder="1" applyAlignment="1">
      <alignment horizontal="center"/>
    </xf>
    <xf numFmtId="0" fontId="6" fillId="0" borderId="8" xfId="2" applyFont="1" applyBorder="1" applyAlignment="1">
      <alignment horizontal="center"/>
    </xf>
    <xf numFmtId="0" fontId="6" fillId="0" borderId="2" xfId="2" applyFont="1" applyBorder="1" applyAlignment="1">
      <alignment horizontal="center"/>
    </xf>
    <xf numFmtId="0" fontId="6" fillId="0" borderId="7" xfId="2" applyFont="1" applyBorder="1" applyAlignment="1">
      <alignment horizontal="center" vertical="center"/>
    </xf>
    <xf numFmtId="0" fontId="6" fillId="0" borderId="6" xfId="2" applyFont="1" applyBorder="1" applyAlignment="1">
      <alignment horizontal="center"/>
    </xf>
    <xf numFmtId="0" fontId="6" fillId="0" borderId="7" xfId="2" applyFont="1" applyBorder="1" applyAlignment="1">
      <alignment horizontal="center"/>
    </xf>
    <xf numFmtId="0" fontId="3" fillId="0" borderId="9" xfId="2" applyFont="1" applyBorder="1"/>
    <xf numFmtId="0" fontId="8" fillId="0" borderId="9" xfId="2" applyFont="1" applyBorder="1" applyAlignment="1">
      <alignment vertical="center"/>
    </xf>
    <xf numFmtId="0" fontId="8" fillId="0" borderId="0" xfId="2" applyFont="1" applyAlignment="1">
      <alignment vertical="center"/>
    </xf>
    <xf numFmtId="167" fontId="3" fillId="0" borderId="0" xfId="2" applyNumberFormat="1" applyFont="1"/>
    <xf numFmtId="167" fontId="8" fillId="0" borderId="0" xfId="2" applyNumberFormat="1" applyFont="1" applyAlignment="1">
      <alignment vertical="center"/>
    </xf>
    <xf numFmtId="0" fontId="8" fillId="0" borderId="0" xfId="2" applyFont="1"/>
    <xf numFmtId="0" fontId="8" fillId="0" borderId="0" xfId="2" applyFont="1" applyAlignment="1">
      <alignment horizontal="center"/>
    </xf>
  </cellXfs>
  <cellStyles count="3">
    <cellStyle name="Comma" xfId="1" builtinId="3"/>
    <cellStyle name="Normal" xfId="0" builtinId="0"/>
    <cellStyle name="Normal 2" xfId="2" xr:uid="{710A5CF8-754F-484E-AC5D-AAF61582A3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spp\Mei\Manual%20Gaji%20ASN%20Me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pp/Manual%20Gaji%20Apr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pp/Manual%20Gaji%20Mare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pp/Manual%20Gaji%20Februa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P1"/>
      <sheetName val="SPP2"/>
      <sheetName val="SPP3"/>
      <sheetName val="SPM"/>
      <sheetName val="RINCIAN"/>
      <sheetName val="JML. PEG"/>
      <sheetName val="KUNCI"/>
      <sheetName val="ENTRI DATA"/>
      <sheetName val="DATA UMUM"/>
    </sheetNames>
    <sheetDataSet>
      <sheetData sheetId="0">
        <row r="24">
          <cell r="E24">
            <v>2477569814</v>
          </cell>
        </row>
        <row r="26">
          <cell r="E26" t="str">
            <v>MEI 2025</v>
          </cell>
        </row>
        <row r="29">
          <cell r="E29">
            <v>67159917</v>
          </cell>
        </row>
        <row r="35">
          <cell r="G35" t="str">
            <v>Watumalang, 21 April  2025</v>
          </cell>
        </row>
        <row r="42">
          <cell r="G42" t="str">
            <v>SOLEH</v>
          </cell>
        </row>
        <row r="43">
          <cell r="G43" t="str">
            <v>NIP. 19710815 201212 1 001</v>
          </cell>
        </row>
      </sheetData>
      <sheetData sheetId="1"/>
      <sheetData sheetId="2"/>
      <sheetData sheetId="3"/>
      <sheetData sheetId="4"/>
      <sheetData sheetId="5"/>
      <sheetData sheetId="6">
        <row r="5">
          <cell r="T5">
            <v>5705171</v>
          </cell>
          <cell r="Y5">
            <v>454371</v>
          </cell>
        </row>
        <row r="25">
          <cell r="G25">
            <v>54224900</v>
          </cell>
          <cell r="K25">
            <v>4442980</v>
          </cell>
          <cell r="L25">
            <v>4660000</v>
          </cell>
          <cell r="M25">
            <v>1080000</v>
          </cell>
          <cell r="P25">
            <v>2679540</v>
          </cell>
          <cell r="Q25">
            <v>71909</v>
          </cell>
          <cell r="R25">
            <v>588</v>
          </cell>
        </row>
      </sheetData>
      <sheetData sheetId="7">
        <row r="4">
          <cell r="C4" t="str">
            <v>IV/B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</row>
        <row r="5">
          <cell r="C5" t="str">
            <v>IV/A</v>
          </cell>
          <cell r="D5">
            <v>1</v>
          </cell>
          <cell r="E5">
            <v>0</v>
          </cell>
          <cell r="F5">
            <v>0</v>
          </cell>
          <cell r="G5">
            <v>4624300</v>
          </cell>
          <cell r="H5">
            <v>0</v>
          </cell>
          <cell r="I5">
            <v>0</v>
          </cell>
          <cell r="J5">
            <v>980000</v>
          </cell>
          <cell r="K5">
            <v>0</v>
          </cell>
          <cell r="L5">
            <v>0</v>
          </cell>
          <cell r="M5">
            <v>0</v>
          </cell>
          <cell r="N5">
            <v>72420</v>
          </cell>
          <cell r="O5">
            <v>28384</v>
          </cell>
          <cell r="P5">
            <v>67</v>
          </cell>
          <cell r="Q5">
            <v>5705171</v>
          </cell>
          <cell r="R5">
            <v>56043</v>
          </cell>
          <cell r="S5">
            <v>369944</v>
          </cell>
          <cell r="T5">
            <v>454371</v>
          </cell>
        </row>
        <row r="6">
          <cell r="C6" t="str">
            <v>III/D</v>
          </cell>
          <cell r="D6">
            <v>1</v>
          </cell>
          <cell r="E6">
            <v>0</v>
          </cell>
          <cell r="F6">
            <v>0</v>
          </cell>
          <cell r="G6">
            <v>5022500</v>
          </cell>
          <cell r="H6">
            <v>0</v>
          </cell>
          <cell r="I6">
            <v>0</v>
          </cell>
          <cell r="J6">
            <v>540000</v>
          </cell>
          <cell r="K6">
            <v>0</v>
          </cell>
          <cell r="L6">
            <v>0</v>
          </cell>
          <cell r="M6">
            <v>0</v>
          </cell>
          <cell r="N6">
            <v>72420</v>
          </cell>
          <cell r="O6">
            <v>14087</v>
          </cell>
          <cell r="P6">
            <v>5</v>
          </cell>
          <cell r="Q6">
            <v>5649012</v>
          </cell>
          <cell r="R6">
            <v>55625</v>
          </cell>
          <cell r="S6">
            <v>401800</v>
          </cell>
          <cell r="T6">
            <v>471512</v>
          </cell>
        </row>
        <row r="7">
          <cell r="C7" t="str">
            <v>III/D</v>
          </cell>
          <cell r="D7">
            <v>1</v>
          </cell>
          <cell r="E7">
            <v>1</v>
          </cell>
          <cell r="F7">
            <v>2</v>
          </cell>
          <cell r="G7">
            <v>4436700</v>
          </cell>
          <cell r="H7">
            <v>443670</v>
          </cell>
          <cell r="I7">
            <v>177468</v>
          </cell>
          <cell r="J7">
            <v>540000</v>
          </cell>
          <cell r="K7">
            <v>0</v>
          </cell>
          <cell r="L7">
            <v>0</v>
          </cell>
          <cell r="M7">
            <v>0</v>
          </cell>
          <cell r="N7">
            <v>289680</v>
          </cell>
          <cell r="O7">
            <v>29438</v>
          </cell>
          <cell r="P7">
            <v>87</v>
          </cell>
          <cell r="Q7">
            <v>5917043</v>
          </cell>
          <cell r="R7">
            <v>55978</v>
          </cell>
          <cell r="S7">
            <v>404627</v>
          </cell>
          <cell r="T7">
            <v>490043</v>
          </cell>
        </row>
        <row r="8">
          <cell r="C8" t="str">
            <v>III/C</v>
          </cell>
          <cell r="D8">
            <v>1</v>
          </cell>
          <cell r="E8">
            <v>1</v>
          </cell>
          <cell r="F8">
            <v>2</v>
          </cell>
          <cell r="G8">
            <v>4528900</v>
          </cell>
          <cell r="H8">
            <v>452890</v>
          </cell>
          <cell r="I8">
            <v>181156</v>
          </cell>
          <cell r="J8">
            <v>540000</v>
          </cell>
          <cell r="K8">
            <v>0</v>
          </cell>
          <cell r="L8">
            <v>0</v>
          </cell>
          <cell r="M8">
            <v>0</v>
          </cell>
          <cell r="N8">
            <v>289680</v>
          </cell>
          <cell r="P8">
            <v>39</v>
          </cell>
          <cell r="Q8">
            <v>5992665</v>
          </cell>
          <cell r="R8">
            <v>57029</v>
          </cell>
          <cell r="S8">
            <v>413036</v>
          </cell>
          <cell r="T8">
            <v>470065</v>
          </cell>
        </row>
        <row r="9">
          <cell r="C9" t="str">
            <v>III/B</v>
          </cell>
          <cell r="D9">
            <v>1</v>
          </cell>
          <cell r="E9">
            <v>1</v>
          </cell>
          <cell r="F9">
            <v>2</v>
          </cell>
          <cell r="G9">
            <v>4083900</v>
          </cell>
          <cell r="H9">
            <v>408390</v>
          </cell>
          <cell r="I9">
            <v>163356</v>
          </cell>
          <cell r="J9">
            <v>540000</v>
          </cell>
          <cell r="K9">
            <v>0</v>
          </cell>
          <cell r="L9">
            <v>0</v>
          </cell>
          <cell r="M9">
            <v>0</v>
          </cell>
          <cell r="N9">
            <v>289680</v>
          </cell>
          <cell r="P9">
            <v>82</v>
          </cell>
          <cell r="Q9">
            <v>5485408</v>
          </cell>
          <cell r="R9">
            <v>51956</v>
          </cell>
          <cell r="S9">
            <v>372452</v>
          </cell>
          <cell r="T9">
            <v>424408</v>
          </cell>
        </row>
        <row r="10">
          <cell r="C10" t="str">
            <v>III/C</v>
          </cell>
          <cell r="D10">
            <v>1</v>
          </cell>
          <cell r="E10">
            <v>1</v>
          </cell>
          <cell r="F10">
            <v>2</v>
          </cell>
          <cell r="G10">
            <v>3645200</v>
          </cell>
          <cell r="H10">
            <v>364520</v>
          </cell>
          <cell r="I10">
            <v>145808</v>
          </cell>
          <cell r="J10">
            <v>540000</v>
          </cell>
          <cell r="K10">
            <v>0</v>
          </cell>
          <cell r="L10">
            <v>0</v>
          </cell>
          <cell r="M10">
            <v>0</v>
          </cell>
          <cell r="N10">
            <v>289680</v>
          </cell>
          <cell r="P10">
            <v>89</v>
          </cell>
          <cell r="Q10">
            <v>4985297</v>
          </cell>
          <cell r="R10">
            <v>46955</v>
          </cell>
          <cell r="S10">
            <v>332442</v>
          </cell>
          <cell r="T10">
            <v>379397</v>
          </cell>
        </row>
        <row r="11">
          <cell r="C11" t="str">
            <v>III/B</v>
          </cell>
          <cell r="D11">
            <v>1</v>
          </cell>
          <cell r="E11">
            <v>0</v>
          </cell>
          <cell r="F11">
            <v>0</v>
          </cell>
          <cell r="G11">
            <v>4212500</v>
          </cell>
          <cell r="H11">
            <v>0</v>
          </cell>
          <cell r="I11">
            <v>0</v>
          </cell>
          <cell r="J11">
            <v>490000</v>
          </cell>
          <cell r="K11">
            <v>0</v>
          </cell>
          <cell r="L11">
            <v>0</v>
          </cell>
          <cell r="M11">
            <v>0</v>
          </cell>
          <cell r="N11">
            <v>72420</v>
          </cell>
          <cell r="P11">
            <v>5</v>
          </cell>
          <cell r="Q11">
            <v>4774925</v>
          </cell>
          <cell r="R11">
            <v>47025</v>
          </cell>
          <cell r="S11">
            <v>337000</v>
          </cell>
          <cell r="T11">
            <v>384025</v>
          </cell>
        </row>
        <row r="12">
          <cell r="C12" t="str">
            <v>III/B</v>
          </cell>
          <cell r="D12">
            <v>1</v>
          </cell>
          <cell r="E12">
            <v>0</v>
          </cell>
          <cell r="F12">
            <v>0</v>
          </cell>
          <cell r="G12">
            <v>4083900</v>
          </cell>
          <cell r="H12">
            <v>0</v>
          </cell>
          <cell r="I12">
            <v>0</v>
          </cell>
          <cell r="J12">
            <v>490000</v>
          </cell>
          <cell r="K12">
            <v>0</v>
          </cell>
          <cell r="L12">
            <v>0</v>
          </cell>
          <cell r="M12">
            <v>0</v>
          </cell>
          <cell r="N12">
            <v>72420</v>
          </cell>
          <cell r="P12">
            <v>31</v>
          </cell>
          <cell r="Q12">
            <v>4646351</v>
          </cell>
          <cell r="R12">
            <v>45739</v>
          </cell>
          <cell r="S12">
            <v>326712</v>
          </cell>
          <cell r="T12">
            <v>372451</v>
          </cell>
        </row>
        <row r="13">
          <cell r="C13" t="str">
            <v>III/A</v>
          </cell>
          <cell r="D13">
            <v>1</v>
          </cell>
          <cell r="E13">
            <v>1</v>
          </cell>
          <cell r="F13">
            <v>0</v>
          </cell>
          <cell r="G13">
            <v>3798500</v>
          </cell>
          <cell r="H13">
            <v>379850</v>
          </cell>
          <cell r="I13">
            <v>0</v>
          </cell>
          <cell r="J13">
            <v>0</v>
          </cell>
          <cell r="K13">
            <v>185000</v>
          </cell>
          <cell r="L13">
            <v>0</v>
          </cell>
          <cell r="M13">
            <v>0</v>
          </cell>
          <cell r="N13">
            <v>144840</v>
          </cell>
          <cell r="P13">
            <v>12</v>
          </cell>
          <cell r="Q13">
            <v>4508202</v>
          </cell>
          <cell r="R13">
            <v>43634</v>
          </cell>
          <cell r="S13">
            <v>334268</v>
          </cell>
          <cell r="T13">
            <v>377902</v>
          </cell>
        </row>
        <row r="14">
          <cell r="C14" t="str">
            <v>III/A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C15" t="str">
            <v>II/D</v>
          </cell>
          <cell r="D15">
            <v>1</v>
          </cell>
          <cell r="E15">
            <v>1</v>
          </cell>
          <cell r="F15">
            <v>2</v>
          </cell>
          <cell r="G15">
            <v>3999600</v>
          </cell>
          <cell r="H15">
            <v>399960</v>
          </cell>
          <cell r="I15">
            <v>159984</v>
          </cell>
          <cell r="J15">
            <v>0</v>
          </cell>
          <cell r="K15">
            <v>180000</v>
          </cell>
          <cell r="L15">
            <v>0</v>
          </cell>
          <cell r="M15">
            <v>0</v>
          </cell>
          <cell r="N15">
            <v>289680</v>
          </cell>
          <cell r="P15">
            <v>35</v>
          </cell>
          <cell r="Q15">
            <v>5029259</v>
          </cell>
          <cell r="R15">
            <v>47395</v>
          </cell>
          <cell r="S15">
            <v>364764</v>
          </cell>
          <cell r="T15">
            <v>412159</v>
          </cell>
        </row>
        <row r="16">
          <cell r="C16" t="str">
            <v>II/D</v>
          </cell>
          <cell r="D16">
            <v>1</v>
          </cell>
          <cell r="E16">
            <v>1</v>
          </cell>
          <cell r="F16">
            <v>2</v>
          </cell>
          <cell r="G16">
            <v>3425200</v>
          </cell>
          <cell r="H16">
            <v>342520</v>
          </cell>
          <cell r="I16">
            <v>137008</v>
          </cell>
          <cell r="J16">
            <v>0</v>
          </cell>
          <cell r="K16">
            <v>180000</v>
          </cell>
          <cell r="L16">
            <v>0</v>
          </cell>
          <cell r="M16">
            <v>0</v>
          </cell>
          <cell r="N16">
            <v>289680</v>
          </cell>
          <cell r="P16">
            <v>17</v>
          </cell>
          <cell r="Q16">
            <v>4374425</v>
          </cell>
          <cell r="R16">
            <v>40847</v>
          </cell>
          <cell r="S16">
            <v>312378</v>
          </cell>
          <cell r="T16">
            <v>353225</v>
          </cell>
        </row>
        <row r="17">
          <cell r="C17" t="str">
            <v>II/D</v>
          </cell>
          <cell r="D17">
            <v>1</v>
          </cell>
          <cell r="E17">
            <v>1</v>
          </cell>
          <cell r="F17">
            <v>1</v>
          </cell>
          <cell r="G17">
            <v>2756800</v>
          </cell>
          <cell r="H17">
            <v>275680</v>
          </cell>
          <cell r="I17">
            <v>55136</v>
          </cell>
          <cell r="J17">
            <v>0</v>
          </cell>
          <cell r="K17">
            <v>180000</v>
          </cell>
          <cell r="L17">
            <v>0</v>
          </cell>
          <cell r="M17">
            <v>0</v>
          </cell>
          <cell r="N17">
            <v>217260</v>
          </cell>
          <cell r="P17">
            <v>9</v>
          </cell>
          <cell r="Q17">
            <v>3484885</v>
          </cell>
          <cell r="R17">
            <v>32676</v>
          </cell>
          <cell r="S17">
            <v>247009</v>
          </cell>
          <cell r="T17">
            <v>279685</v>
          </cell>
        </row>
        <row r="18">
          <cell r="C18" t="str">
            <v>II/B</v>
          </cell>
          <cell r="D18">
            <v>1</v>
          </cell>
          <cell r="E18">
            <v>1</v>
          </cell>
          <cell r="F18">
            <v>1</v>
          </cell>
          <cell r="G18">
            <v>2963200</v>
          </cell>
          <cell r="H18">
            <v>296320</v>
          </cell>
          <cell r="I18">
            <v>59264</v>
          </cell>
          <cell r="J18">
            <v>0</v>
          </cell>
          <cell r="K18">
            <v>180000</v>
          </cell>
          <cell r="L18">
            <v>0</v>
          </cell>
          <cell r="M18">
            <v>0</v>
          </cell>
          <cell r="N18">
            <v>217260</v>
          </cell>
          <cell r="P18">
            <v>47</v>
          </cell>
          <cell r="Q18">
            <v>3716091</v>
          </cell>
          <cell r="R18">
            <v>34988</v>
          </cell>
          <cell r="S18">
            <v>265503</v>
          </cell>
          <cell r="T18">
            <v>300491</v>
          </cell>
        </row>
        <row r="19">
          <cell r="C19" t="str">
            <v>I/D</v>
          </cell>
          <cell r="D19">
            <v>1</v>
          </cell>
          <cell r="E19">
            <v>0</v>
          </cell>
          <cell r="F19">
            <v>0</v>
          </cell>
          <cell r="G19">
            <v>2643700</v>
          </cell>
          <cell r="H19">
            <v>0</v>
          </cell>
          <cell r="I19">
            <v>0</v>
          </cell>
          <cell r="J19">
            <v>0</v>
          </cell>
          <cell r="K19">
            <v>175000</v>
          </cell>
          <cell r="L19">
            <v>0</v>
          </cell>
          <cell r="M19">
            <v>0</v>
          </cell>
          <cell r="N19">
            <v>72420</v>
          </cell>
          <cell r="P19">
            <v>63</v>
          </cell>
          <cell r="Q19">
            <v>2891183</v>
          </cell>
          <cell r="R19">
            <v>28187</v>
          </cell>
          <cell r="S19">
            <v>211496</v>
          </cell>
          <cell r="T19">
            <v>239683</v>
          </cell>
        </row>
      </sheetData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P1"/>
      <sheetName val="SPP2"/>
      <sheetName val="SPP3"/>
      <sheetName val="SPM"/>
      <sheetName val="PERBEDAAN"/>
      <sheetName val="RINCIAN"/>
      <sheetName val="JML. PEG"/>
      <sheetName val="KUNCI"/>
      <sheetName val="ENTRI DATA"/>
      <sheetName val="DATA UMUM"/>
    </sheetNames>
    <sheetDataSet>
      <sheetData sheetId="0"/>
      <sheetData sheetId="1"/>
      <sheetData sheetId="2"/>
      <sheetData sheetId="3"/>
      <sheetData sheetId="4">
        <row r="10">
          <cell r="I10">
            <v>0</v>
          </cell>
          <cell r="J10">
            <v>0</v>
          </cell>
          <cell r="K10">
            <v>0</v>
          </cell>
          <cell r="M10">
            <v>0</v>
          </cell>
        </row>
        <row r="11">
          <cell r="I11">
            <v>0</v>
          </cell>
          <cell r="J11">
            <v>0</v>
          </cell>
          <cell r="K11">
            <v>0</v>
          </cell>
          <cell r="M11">
            <v>0</v>
          </cell>
        </row>
        <row r="12">
          <cell r="I12">
            <v>0</v>
          </cell>
          <cell r="J12">
            <v>0</v>
          </cell>
          <cell r="K12">
            <v>0</v>
          </cell>
          <cell r="M12">
            <v>0</v>
          </cell>
        </row>
        <row r="13">
          <cell r="I13">
            <v>1</v>
          </cell>
          <cell r="J13">
            <v>0</v>
          </cell>
          <cell r="K13">
            <v>0</v>
          </cell>
          <cell r="M13">
            <v>2891183</v>
          </cell>
        </row>
        <row r="15">
          <cell r="I15">
            <v>0</v>
          </cell>
          <cell r="J15">
            <v>0</v>
          </cell>
          <cell r="K15">
            <v>0</v>
          </cell>
          <cell r="M15">
            <v>0</v>
          </cell>
        </row>
        <row r="16">
          <cell r="I16">
            <v>1</v>
          </cell>
          <cell r="J16">
            <v>1</v>
          </cell>
          <cell r="K16">
            <v>1</v>
          </cell>
          <cell r="M16">
            <v>3716091</v>
          </cell>
        </row>
        <row r="17">
          <cell r="I17">
            <v>0</v>
          </cell>
          <cell r="J17">
            <v>0</v>
          </cell>
          <cell r="K17">
            <v>0</v>
          </cell>
          <cell r="M17">
            <v>0</v>
          </cell>
        </row>
        <row r="18">
          <cell r="I18">
            <v>3</v>
          </cell>
          <cell r="J18">
            <v>3</v>
          </cell>
          <cell r="K18">
            <v>5</v>
          </cell>
          <cell r="M18">
            <v>12888569</v>
          </cell>
        </row>
        <row r="20">
          <cell r="I20">
            <v>1</v>
          </cell>
          <cell r="J20">
            <v>1</v>
          </cell>
          <cell r="K20">
            <v>0</v>
          </cell>
          <cell r="M20">
            <v>4508202</v>
          </cell>
        </row>
        <row r="21">
          <cell r="I21">
            <v>3</v>
          </cell>
          <cell r="J21">
            <v>1</v>
          </cell>
          <cell r="K21">
            <v>2</v>
          </cell>
          <cell r="M21">
            <v>14906684</v>
          </cell>
        </row>
        <row r="22">
          <cell r="I22">
            <v>2</v>
          </cell>
          <cell r="J22">
            <v>2</v>
          </cell>
          <cell r="K22">
            <v>4</v>
          </cell>
          <cell r="M22">
            <v>10820383</v>
          </cell>
        </row>
        <row r="23">
          <cell r="I23">
            <v>2</v>
          </cell>
          <cell r="J23">
            <v>1</v>
          </cell>
          <cell r="K23">
            <v>2</v>
          </cell>
          <cell r="M23">
            <v>11566055</v>
          </cell>
        </row>
        <row r="25">
          <cell r="I25">
            <v>1</v>
          </cell>
          <cell r="J25">
            <v>0</v>
          </cell>
          <cell r="K25">
            <v>0</v>
          </cell>
          <cell r="M25">
            <v>5705171</v>
          </cell>
        </row>
        <row r="26">
          <cell r="I26">
            <v>0</v>
          </cell>
          <cell r="J26">
            <v>0</v>
          </cell>
          <cell r="K26">
            <v>0</v>
          </cell>
          <cell r="M26">
            <v>0</v>
          </cell>
        </row>
        <row r="27">
          <cell r="I27">
            <v>0</v>
          </cell>
          <cell r="J27">
            <v>0</v>
          </cell>
          <cell r="K27">
            <v>0</v>
          </cell>
          <cell r="M27">
            <v>0</v>
          </cell>
        </row>
        <row r="28">
          <cell r="I28">
            <v>0</v>
          </cell>
          <cell r="J28">
            <v>0</v>
          </cell>
          <cell r="K28">
            <v>0</v>
          </cell>
          <cell r="M28">
            <v>0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P1"/>
      <sheetName val="SPP2"/>
      <sheetName val="SPP3"/>
      <sheetName val="SPM"/>
      <sheetName val="PERBEDAAN"/>
      <sheetName val="RINCIAN"/>
      <sheetName val="JML. PEG"/>
      <sheetName val="KUNCI"/>
      <sheetName val="ENTRI DATA"/>
      <sheetName val="DATA UMUM"/>
    </sheetNames>
    <sheetDataSet>
      <sheetData sheetId="0"/>
      <sheetData sheetId="1"/>
      <sheetData sheetId="2"/>
      <sheetData sheetId="3"/>
      <sheetData sheetId="4">
        <row r="10">
          <cell r="I10">
            <v>0</v>
          </cell>
        </row>
        <row r="14">
          <cell r="I14">
            <v>1</v>
          </cell>
          <cell r="K14">
            <v>0</v>
          </cell>
          <cell r="M14">
            <v>2891183</v>
          </cell>
        </row>
        <row r="19">
          <cell r="I19">
            <v>4</v>
          </cell>
          <cell r="K19">
            <v>6</v>
          </cell>
          <cell r="M19">
            <v>16470044</v>
          </cell>
        </row>
        <row r="24">
          <cell r="I24">
            <v>8</v>
          </cell>
          <cell r="K24">
            <v>8</v>
          </cell>
          <cell r="M24">
            <v>41429568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P1"/>
      <sheetName val="SPP2"/>
      <sheetName val="SPP3"/>
      <sheetName val="SPM"/>
      <sheetName val="PERBEDAAN"/>
      <sheetName val="RINCIAN"/>
      <sheetName val="JML. PEG"/>
      <sheetName val="KUNCI"/>
      <sheetName val="ENTRI DATA"/>
      <sheetName val="DATA UMUM"/>
    </sheetNames>
    <sheetDataSet>
      <sheetData sheetId="0"/>
      <sheetData sheetId="1"/>
      <sheetData sheetId="2"/>
      <sheetData sheetId="3"/>
      <sheetData sheetId="4">
        <row r="10">
          <cell r="I10">
            <v>0</v>
          </cell>
        </row>
        <row r="14">
          <cell r="J14">
            <v>0</v>
          </cell>
        </row>
        <row r="19">
          <cell r="J19">
            <v>4</v>
          </cell>
        </row>
        <row r="24">
          <cell r="J24">
            <v>5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5A8FF-7AE1-490A-A10A-F8AC5B228CF0}">
  <sheetPr>
    <tabColor rgb="FF00B050"/>
  </sheetPr>
  <dimension ref="A1:AG71"/>
  <sheetViews>
    <sheetView tabSelected="1" zoomScaleNormal="100" zoomScaleSheetLayoutView="100" workbookViewId="0">
      <pane xSplit="2" ySplit="1" topLeftCell="H2" activePane="bottomRight" state="frozen"/>
      <selection pane="topRight" activeCell="C1" sqref="C1"/>
      <selection pane="bottomLeft" activeCell="A2" sqref="A2"/>
      <selection pane="bottomRight" activeCell="T7" sqref="T7:U7"/>
    </sheetView>
  </sheetViews>
  <sheetFormatPr defaultColWidth="9.1796875" defaultRowHeight="12.5" x14ac:dyDescent="0.25"/>
  <cols>
    <col min="1" max="1" width="3.1796875" style="1" customWidth="1"/>
    <col min="2" max="2" width="15.26953125" style="1" customWidth="1"/>
    <col min="3" max="3" width="14.36328125" style="1" hidden="1" customWidth="1"/>
    <col min="4" max="4" width="6" style="1" bestFit="1" customWidth="1"/>
    <col min="5" max="5" width="6.36328125" style="1" bestFit="1" customWidth="1"/>
    <col min="6" max="6" width="6.90625" style="1" customWidth="1"/>
    <col min="7" max="7" width="6.08984375" style="1" bestFit="1" customWidth="1"/>
    <col min="8" max="8" width="13.54296875" style="1" customWidth="1"/>
    <col min="9" max="9" width="6" style="1" bestFit="1" customWidth="1"/>
    <col min="10" max="10" width="6.36328125" style="1" bestFit="1" customWidth="1"/>
    <col min="11" max="11" width="7" style="1" bestFit="1" customWidth="1"/>
    <col min="12" max="12" width="6.08984375" style="1" bestFit="1" customWidth="1"/>
    <col min="13" max="13" width="14.1796875" style="1" customWidth="1"/>
    <col min="14" max="14" width="11" style="1" customWidth="1"/>
    <col min="15" max="15" width="10" style="1" customWidth="1"/>
    <col min="16" max="16" width="11" style="1" customWidth="1"/>
    <col min="17" max="17" width="10.54296875" style="1" customWidth="1"/>
    <col min="18" max="18" width="11" style="1" customWidth="1"/>
    <col min="19" max="19" width="10.54296875" style="1" customWidth="1"/>
    <col min="20" max="20" width="11" style="1" customWidth="1"/>
    <col min="21" max="21" width="10.54296875" style="1" customWidth="1"/>
    <col min="22" max="22" width="11" style="1" customWidth="1"/>
    <col min="23" max="23" width="15.1796875" style="1" customWidth="1"/>
    <col min="24" max="24" width="11.7265625" style="1" customWidth="1"/>
    <col min="25" max="25" width="17.453125" style="1" customWidth="1"/>
    <col min="26" max="26" width="14" style="1" customWidth="1"/>
    <col min="27" max="27" width="15.1796875" style="1" bestFit="1" customWidth="1"/>
    <col min="28" max="28" width="13.81640625" style="1" bestFit="1" customWidth="1"/>
    <col min="29" max="29" width="15.26953125" style="1" customWidth="1"/>
    <col min="30" max="16384" width="9.1796875" style="1"/>
  </cols>
  <sheetData>
    <row r="1" spans="1:29" ht="13.5" customHeight="1" x14ac:dyDescent="0.35">
      <c r="A1" s="73" t="s">
        <v>62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2"/>
    </row>
    <row r="2" spans="1:29" ht="13.5" customHeight="1" x14ac:dyDescent="0.3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9" ht="13.5" customHeight="1" x14ac:dyDescent="0.35">
      <c r="A3" s="69" t="s">
        <v>61</v>
      </c>
      <c r="B3" s="69"/>
      <c r="C3" s="69"/>
      <c r="D3" s="69"/>
      <c r="E3" s="69"/>
      <c r="F3" s="71" t="str">
        <f>": "&amp;[1]SPP1!E26</f>
        <v>: MEI 2025</v>
      </c>
      <c r="G3" s="70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9" ht="13.5" customHeight="1" x14ac:dyDescent="0.35">
      <c r="A4" s="69" t="s">
        <v>60</v>
      </c>
      <c r="B4" s="69"/>
      <c r="C4" s="69"/>
      <c r="D4" s="69"/>
      <c r="E4" s="69"/>
      <c r="F4" s="69" t="s">
        <v>59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9" ht="13.5" customHeight="1" x14ac:dyDescent="0.35">
      <c r="A5" s="68" t="s">
        <v>58</v>
      </c>
      <c r="B5" s="68"/>
      <c r="C5" s="68"/>
      <c r="D5" s="68"/>
      <c r="E5" s="68"/>
      <c r="F5" s="68" t="s">
        <v>57</v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</row>
    <row r="6" spans="1:29" ht="14" x14ac:dyDescent="0.3">
      <c r="A6" s="66"/>
      <c r="B6" s="66" t="s">
        <v>56</v>
      </c>
      <c r="C6" s="66"/>
      <c r="D6" s="63" t="s">
        <v>55</v>
      </c>
      <c r="E6" s="63"/>
      <c r="F6" s="63"/>
      <c r="G6" s="63"/>
      <c r="H6" s="63"/>
      <c r="I6" s="63" t="s">
        <v>54</v>
      </c>
      <c r="J6" s="63"/>
      <c r="K6" s="63"/>
      <c r="L6" s="63"/>
      <c r="M6" s="63"/>
      <c r="N6" s="63" t="s">
        <v>53</v>
      </c>
      <c r="O6" s="63"/>
      <c r="P6" s="63"/>
      <c r="Q6" s="63"/>
      <c r="R6" s="63"/>
      <c r="S6" s="63"/>
      <c r="T6" s="63"/>
      <c r="U6" s="63"/>
      <c r="V6" s="63"/>
      <c r="W6" s="63"/>
    </row>
    <row r="7" spans="1:29" ht="14" x14ac:dyDescent="0.3">
      <c r="A7" s="65" t="s">
        <v>52</v>
      </c>
      <c r="B7" s="65" t="s">
        <v>51</v>
      </c>
      <c r="C7" s="65"/>
      <c r="D7" s="64" t="s">
        <v>50</v>
      </c>
      <c r="E7" s="57" t="s">
        <v>47</v>
      </c>
      <c r="F7" s="57" t="s">
        <v>46</v>
      </c>
      <c r="G7" s="57" t="s">
        <v>45</v>
      </c>
      <c r="H7" s="57" t="s">
        <v>49</v>
      </c>
      <c r="I7" s="57" t="s">
        <v>50</v>
      </c>
      <c r="J7" s="57" t="s">
        <v>47</v>
      </c>
      <c r="K7" s="57" t="s">
        <v>46</v>
      </c>
      <c r="L7" s="57" t="s">
        <v>45</v>
      </c>
      <c r="M7" s="57" t="s">
        <v>49</v>
      </c>
      <c r="N7" s="63" t="s">
        <v>48</v>
      </c>
      <c r="O7" s="63"/>
      <c r="P7" s="63" t="s">
        <v>47</v>
      </c>
      <c r="Q7" s="63"/>
      <c r="R7" s="63" t="s">
        <v>46</v>
      </c>
      <c r="S7" s="63"/>
      <c r="T7" s="63" t="s">
        <v>45</v>
      </c>
      <c r="U7" s="63"/>
      <c r="V7" s="62" t="s">
        <v>44</v>
      </c>
      <c r="W7" s="61"/>
    </row>
    <row r="8" spans="1:29" ht="14" x14ac:dyDescent="0.3">
      <c r="A8" s="60"/>
      <c r="B8" s="59"/>
      <c r="C8" s="59"/>
      <c r="D8" s="58"/>
      <c r="E8" s="57"/>
      <c r="F8" s="57"/>
      <c r="G8" s="57"/>
      <c r="H8" s="57"/>
      <c r="I8" s="57"/>
      <c r="J8" s="57"/>
      <c r="K8" s="57"/>
      <c r="L8" s="57"/>
      <c r="M8" s="57"/>
      <c r="N8" s="56" t="s">
        <v>43</v>
      </c>
      <c r="O8" s="56" t="s">
        <v>42</v>
      </c>
      <c r="P8" s="56" t="s">
        <v>43</v>
      </c>
      <c r="Q8" s="56" t="s">
        <v>42</v>
      </c>
      <c r="R8" s="56" t="s">
        <v>43</v>
      </c>
      <c r="S8" s="56" t="s">
        <v>42</v>
      </c>
      <c r="T8" s="56" t="s">
        <v>43</v>
      </c>
      <c r="U8" s="56" t="s">
        <v>42</v>
      </c>
      <c r="V8" s="56" t="s">
        <v>43</v>
      </c>
      <c r="W8" s="56" t="s">
        <v>42</v>
      </c>
    </row>
    <row r="9" spans="1:29" ht="15.5" x14ac:dyDescent="0.35">
      <c r="A9" s="55">
        <v>1</v>
      </c>
      <c r="B9" s="55">
        <v>2</v>
      </c>
      <c r="C9" s="55"/>
      <c r="D9" s="55">
        <v>3</v>
      </c>
      <c r="E9" s="55">
        <v>4</v>
      </c>
      <c r="F9" s="55">
        <v>5</v>
      </c>
      <c r="G9" s="55">
        <v>6</v>
      </c>
      <c r="H9" s="55">
        <v>7</v>
      </c>
      <c r="I9" s="55">
        <v>8</v>
      </c>
      <c r="J9" s="55">
        <v>9</v>
      </c>
      <c r="K9" s="55">
        <v>10</v>
      </c>
      <c r="L9" s="55">
        <v>11</v>
      </c>
      <c r="M9" s="55">
        <v>12</v>
      </c>
      <c r="N9" s="55">
        <v>13</v>
      </c>
      <c r="O9" s="55">
        <v>14</v>
      </c>
      <c r="P9" s="55">
        <v>15</v>
      </c>
      <c r="Q9" s="55">
        <v>16</v>
      </c>
      <c r="R9" s="55">
        <v>17</v>
      </c>
      <c r="S9" s="55">
        <v>18</v>
      </c>
      <c r="T9" s="55">
        <v>19</v>
      </c>
      <c r="U9" s="55">
        <v>20</v>
      </c>
      <c r="V9" s="55">
        <v>21</v>
      </c>
      <c r="W9" s="55">
        <v>22</v>
      </c>
      <c r="Y9" s="54"/>
    </row>
    <row r="10" spans="1:29" ht="20.149999999999999" customHeight="1" x14ac:dyDescent="0.35">
      <c r="A10" s="36">
        <v>1</v>
      </c>
      <c r="B10" s="53" t="s">
        <v>41</v>
      </c>
      <c r="C10" s="53" t="s">
        <v>40</v>
      </c>
      <c r="D10" s="28">
        <f>[2]PERBEDAAN!I10</f>
        <v>0</v>
      </c>
      <c r="E10" s="28">
        <f>[2]PERBEDAAN!J10</f>
        <v>0</v>
      </c>
      <c r="F10" s="28">
        <f>[2]PERBEDAAN!K10</f>
        <v>0</v>
      </c>
      <c r="G10" s="28">
        <f>SUM(D10:F10)</f>
        <v>0</v>
      </c>
      <c r="H10" s="28">
        <f>[2]PERBEDAAN!M10</f>
        <v>0</v>
      </c>
      <c r="I10" s="28">
        <f>SUMIF(gol_C,C10,peg_c)</f>
        <v>0</v>
      </c>
      <c r="J10" s="28">
        <f>SUMIF(gol_C,C10,istri_C)</f>
        <v>0</v>
      </c>
      <c r="K10" s="28">
        <f>SUMIF(gol_C,C10,anak_C)</f>
        <v>0</v>
      </c>
      <c r="L10" s="28">
        <f>SUM(I10:K10)</f>
        <v>0</v>
      </c>
      <c r="M10" s="28">
        <f>SUMIF(gol_C,C10,c_jukot)</f>
        <v>0</v>
      </c>
      <c r="N10" s="28">
        <f>D10-I10</f>
        <v>0</v>
      </c>
      <c r="O10" s="28">
        <f>D10-I10</f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f>H10-M10</f>
        <v>0</v>
      </c>
    </row>
    <row r="11" spans="1:29" ht="20.149999999999999" customHeight="1" x14ac:dyDescent="0.35">
      <c r="A11" s="34"/>
      <c r="B11" s="43" t="s">
        <v>39</v>
      </c>
      <c r="C11" s="43" t="s">
        <v>38</v>
      </c>
      <c r="D11" s="28">
        <f>[2]PERBEDAAN!I11</f>
        <v>0</v>
      </c>
      <c r="E11" s="28">
        <f>[2]PERBEDAAN!J11</f>
        <v>0</v>
      </c>
      <c r="F11" s="28">
        <f>[2]PERBEDAAN!K11</f>
        <v>0</v>
      </c>
      <c r="G11" s="28">
        <f>SUM(D11:F11)</f>
        <v>0</v>
      </c>
      <c r="H11" s="28">
        <f>[2]PERBEDAAN!M11</f>
        <v>0</v>
      </c>
      <c r="I11" s="28">
        <f>SUMIF(gol_C,C11,peg_c)</f>
        <v>0</v>
      </c>
      <c r="J11" s="28">
        <f>SUMIF(gol_C,C11,istri_C)</f>
        <v>0</v>
      </c>
      <c r="K11" s="28">
        <f>SUMIF(gol_C,C11,anak_C)</f>
        <v>0</v>
      </c>
      <c r="L11" s="28">
        <f>SUM(I11:K11)</f>
        <v>0</v>
      </c>
      <c r="M11" s="28">
        <f>SUMIF(gol_C,C11,c_jukot)</f>
        <v>0</v>
      </c>
      <c r="N11" s="28">
        <f>D11-I11</f>
        <v>0</v>
      </c>
      <c r="O11" s="28">
        <f>D11-I11</f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f>H11-M11</f>
        <v>0</v>
      </c>
      <c r="Y11" s="52"/>
      <c r="Z11" s="51"/>
      <c r="AA11" s="49"/>
      <c r="AB11" s="50"/>
      <c r="AC11" s="49"/>
    </row>
    <row r="12" spans="1:29" ht="20.149999999999999" customHeight="1" x14ac:dyDescent="0.35">
      <c r="A12" s="34"/>
      <c r="B12" s="43" t="s">
        <v>37</v>
      </c>
      <c r="C12" s="43" t="s">
        <v>36</v>
      </c>
      <c r="D12" s="28">
        <f>[2]PERBEDAAN!I12</f>
        <v>0</v>
      </c>
      <c r="E12" s="28">
        <f>[2]PERBEDAAN!J12</f>
        <v>0</v>
      </c>
      <c r="F12" s="28">
        <f>[2]PERBEDAAN!K12</f>
        <v>0</v>
      </c>
      <c r="G12" s="28">
        <f>SUM(D12:F12)</f>
        <v>0</v>
      </c>
      <c r="H12" s="28">
        <f>[2]PERBEDAAN!M12</f>
        <v>0</v>
      </c>
      <c r="I12" s="28">
        <f>SUMIF(gol_C,C12,peg_c)</f>
        <v>0</v>
      </c>
      <c r="J12" s="28">
        <f>SUMIF(gol_C,C12,istri_C)</f>
        <v>0</v>
      </c>
      <c r="K12" s="28">
        <f>SUMIF(gol_C,C12,anak_C)</f>
        <v>0</v>
      </c>
      <c r="L12" s="28">
        <f>SUM(I12:K12)</f>
        <v>0</v>
      </c>
      <c r="M12" s="28">
        <f>SUMIF(gol_C,C12,c_jukot)</f>
        <v>0</v>
      </c>
      <c r="N12" s="28">
        <f>D12-I12</f>
        <v>0</v>
      </c>
      <c r="O12" s="28">
        <f>D12-I12</f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f>H12-M12</f>
        <v>0</v>
      </c>
      <c r="Y12" s="6"/>
      <c r="Z12" s="47"/>
      <c r="AA12" s="48"/>
      <c r="AB12" s="6"/>
      <c r="AC12" s="6"/>
    </row>
    <row r="13" spans="1:29" ht="20.149999999999999" customHeight="1" x14ac:dyDescent="0.35">
      <c r="A13" s="34"/>
      <c r="B13" s="43" t="s">
        <v>35</v>
      </c>
      <c r="C13" s="43" t="s">
        <v>34</v>
      </c>
      <c r="D13" s="28">
        <f>[2]PERBEDAAN!I13</f>
        <v>1</v>
      </c>
      <c r="E13" s="28">
        <f>[2]PERBEDAAN!J13</f>
        <v>0</v>
      </c>
      <c r="F13" s="28">
        <f>[2]PERBEDAAN!K13</f>
        <v>0</v>
      </c>
      <c r="G13" s="28">
        <f>SUM(D13:F13)</f>
        <v>1</v>
      </c>
      <c r="H13" s="28">
        <f>[2]PERBEDAAN!M13</f>
        <v>2891183</v>
      </c>
      <c r="I13" s="28">
        <f>SUMIF(gol_C,C13,peg_c)</f>
        <v>1</v>
      </c>
      <c r="J13" s="28">
        <f>SUMIF(gol_C,C13,istri_C)</f>
        <v>0</v>
      </c>
      <c r="K13" s="28">
        <f>SUMIF(gol_C,C13,anak_C)</f>
        <v>0</v>
      </c>
      <c r="L13" s="28">
        <f>SUM(I13:K13)</f>
        <v>1</v>
      </c>
      <c r="M13" s="28">
        <f>SUMIF(gol_C,C13,c_jukot)</f>
        <v>2891183</v>
      </c>
      <c r="N13" s="28">
        <f>D13-I13</f>
        <v>0</v>
      </c>
      <c r="O13" s="28">
        <f>D13-I13</f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f>H13-M13</f>
        <v>0</v>
      </c>
      <c r="Y13" s="6"/>
      <c r="Z13" s="47"/>
      <c r="AA13" s="48"/>
      <c r="AB13" s="6"/>
      <c r="AC13" s="6"/>
    </row>
    <row r="14" spans="1:29" s="3" customFormat="1" ht="20.149999999999999" customHeight="1" x14ac:dyDescent="0.35">
      <c r="A14" s="30"/>
      <c r="B14" s="42" t="s">
        <v>33</v>
      </c>
      <c r="C14" s="42"/>
      <c r="D14" s="22">
        <f>[3]PERBEDAAN!I14</f>
        <v>1</v>
      </c>
      <c r="E14" s="22">
        <f>[4]PERBEDAAN!J14</f>
        <v>0</v>
      </c>
      <c r="F14" s="22">
        <f>[3]PERBEDAAN!K14</f>
        <v>0</v>
      </c>
      <c r="G14" s="22">
        <f>SUM(D14:F14)</f>
        <v>1</v>
      </c>
      <c r="H14" s="22">
        <f>[3]PERBEDAAN!M14</f>
        <v>2891183</v>
      </c>
      <c r="I14" s="22">
        <f>SUM(I10:I13)</f>
        <v>1</v>
      </c>
      <c r="J14" s="22">
        <f>SUM(J10:J13)</f>
        <v>0</v>
      </c>
      <c r="K14" s="22">
        <f>SUM(K10:K13)</f>
        <v>0</v>
      </c>
      <c r="L14" s="22">
        <f>SUM(I14:K14)</f>
        <v>1</v>
      </c>
      <c r="M14" s="22">
        <f>SUM(M10:M13)</f>
        <v>2891183</v>
      </c>
      <c r="N14" s="22">
        <f>SUM(N10:N13)</f>
        <v>0</v>
      </c>
      <c r="O14" s="22">
        <f>SUM(O10:O13)</f>
        <v>0</v>
      </c>
      <c r="P14" s="22">
        <f>SUM(P10:P13)</f>
        <v>0</v>
      </c>
      <c r="Q14" s="22">
        <f>SUM(Q10:Q13)</f>
        <v>0</v>
      </c>
      <c r="R14" s="22">
        <f>SUM(R10:R13)</f>
        <v>0</v>
      </c>
      <c r="S14" s="22">
        <f>SUM(S10:S13)</f>
        <v>0</v>
      </c>
      <c r="T14" s="22">
        <f>SUM(T10:T13)</f>
        <v>0</v>
      </c>
      <c r="U14" s="22">
        <f>SUM(U10:U13)</f>
        <v>0</v>
      </c>
      <c r="V14" s="22">
        <f>V10+V11+V12+V13</f>
        <v>0</v>
      </c>
      <c r="W14" s="22">
        <f>H14-M14</f>
        <v>0</v>
      </c>
      <c r="Y14" s="6"/>
      <c r="Z14" s="47"/>
      <c r="AA14" s="48"/>
      <c r="AB14" s="6"/>
      <c r="AC14" s="6"/>
    </row>
    <row r="15" spans="1:29" ht="20.149999999999999" customHeight="1" x14ac:dyDescent="0.35">
      <c r="A15" s="36">
        <v>2</v>
      </c>
      <c r="B15" s="43" t="s">
        <v>32</v>
      </c>
      <c r="C15" s="43" t="s">
        <v>31</v>
      </c>
      <c r="D15" s="28">
        <f>[2]PERBEDAAN!I15</f>
        <v>0</v>
      </c>
      <c r="E15" s="28">
        <f>[2]PERBEDAAN!J15</f>
        <v>0</v>
      </c>
      <c r="F15" s="28">
        <f>[2]PERBEDAAN!K15</f>
        <v>0</v>
      </c>
      <c r="G15" s="28">
        <f>SUM(D15:F15)</f>
        <v>0</v>
      </c>
      <c r="H15" s="28">
        <f>[2]PERBEDAAN!M15</f>
        <v>0</v>
      </c>
      <c r="I15" s="28">
        <f>SUMIF(gol_C,C15,peg_c)</f>
        <v>0</v>
      </c>
      <c r="J15" s="28">
        <f>SUMIF(gol_C,C15,istri_C)</f>
        <v>0</v>
      </c>
      <c r="K15" s="28">
        <f>SUMIF(gol_C,C15,anak_C)</f>
        <v>0</v>
      </c>
      <c r="L15" s="28">
        <f>SUM(I15:K15)</f>
        <v>0</v>
      </c>
      <c r="M15" s="28">
        <f>SUMIF(gol_C,C15,c_jukot)</f>
        <v>0</v>
      </c>
      <c r="N15" s="28">
        <f>D15-I15</f>
        <v>0</v>
      </c>
      <c r="O15" s="28">
        <f>D15-I15</f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f>H15-M15</f>
        <v>0</v>
      </c>
      <c r="Y15" s="6"/>
      <c r="Z15" s="47"/>
      <c r="AA15" s="48"/>
      <c r="AB15" s="35"/>
      <c r="AC15" s="6"/>
    </row>
    <row r="16" spans="1:29" ht="20.149999999999999" customHeight="1" x14ac:dyDescent="0.35">
      <c r="A16" s="34"/>
      <c r="B16" s="43" t="s">
        <v>30</v>
      </c>
      <c r="C16" s="43" t="s">
        <v>29</v>
      </c>
      <c r="D16" s="28">
        <f>[2]PERBEDAAN!I16</f>
        <v>1</v>
      </c>
      <c r="E16" s="28">
        <f>[2]PERBEDAAN!J16</f>
        <v>1</v>
      </c>
      <c r="F16" s="28">
        <f>[2]PERBEDAAN!K16</f>
        <v>1</v>
      </c>
      <c r="G16" s="28">
        <f>SUM(D16:F16)</f>
        <v>3</v>
      </c>
      <c r="H16" s="28">
        <f>[2]PERBEDAAN!M16</f>
        <v>3716091</v>
      </c>
      <c r="I16" s="28">
        <f>SUMIF(gol_C,C16,peg_c)</f>
        <v>1</v>
      </c>
      <c r="J16" s="28">
        <f>SUMIF(gol_C,C16,istri_C)</f>
        <v>1</v>
      </c>
      <c r="K16" s="28">
        <f>SUMIF(gol_C,C16,anak_C)</f>
        <v>1</v>
      </c>
      <c r="L16" s="28">
        <f>SUM(I16:K16)</f>
        <v>3</v>
      </c>
      <c r="M16" s="28">
        <f>SUMIF(gol_C,C16,c_jukot)</f>
        <v>3716091</v>
      </c>
      <c r="N16" s="28">
        <f>D16-I16</f>
        <v>0</v>
      </c>
      <c r="O16" s="28">
        <f>D16-I16</f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f>H16-M16</f>
        <v>0</v>
      </c>
      <c r="Y16" s="6"/>
      <c r="Z16" s="47"/>
      <c r="AA16" s="46"/>
      <c r="AB16" s="6"/>
      <c r="AC16" s="6"/>
    </row>
    <row r="17" spans="1:33" ht="20.149999999999999" customHeight="1" x14ac:dyDescent="0.35">
      <c r="A17" s="34"/>
      <c r="B17" s="43" t="s">
        <v>28</v>
      </c>
      <c r="C17" s="43" t="s">
        <v>27</v>
      </c>
      <c r="D17" s="28">
        <f>[2]PERBEDAAN!I17</f>
        <v>0</v>
      </c>
      <c r="E17" s="28">
        <f>[2]PERBEDAAN!J17</f>
        <v>0</v>
      </c>
      <c r="F17" s="28">
        <f>[2]PERBEDAAN!K17</f>
        <v>0</v>
      </c>
      <c r="G17" s="28">
        <f>SUM(D17:F17)</f>
        <v>0</v>
      </c>
      <c r="H17" s="28">
        <f>[2]PERBEDAAN!M17</f>
        <v>0</v>
      </c>
      <c r="I17" s="28">
        <f>SUMIF(gol_C,C17,peg_c)</f>
        <v>0</v>
      </c>
      <c r="J17" s="28">
        <f>SUMIF(gol_C,C17,istri_C)</f>
        <v>0</v>
      </c>
      <c r="K17" s="28">
        <f>SUMIF(gol_C,C17,anak_C)</f>
        <v>0</v>
      </c>
      <c r="L17" s="28">
        <f>SUM(I17:K17)</f>
        <v>0</v>
      </c>
      <c r="M17" s="28">
        <f>SUMIF(gol_C,C17,c_jukot)</f>
        <v>0</v>
      </c>
      <c r="N17" s="28">
        <f>D17-I17</f>
        <v>0</v>
      </c>
      <c r="O17" s="28">
        <f>D17-I17</f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f>H17-M17</f>
        <v>0</v>
      </c>
      <c r="Y17" s="6"/>
      <c r="Z17" s="45"/>
      <c r="AA17" s="44"/>
      <c r="AB17" s="6"/>
      <c r="AC17" s="35"/>
    </row>
    <row r="18" spans="1:33" ht="20.149999999999999" customHeight="1" x14ac:dyDescent="0.35">
      <c r="A18" s="34"/>
      <c r="B18" s="43" t="s">
        <v>26</v>
      </c>
      <c r="C18" s="43" t="s">
        <v>25</v>
      </c>
      <c r="D18" s="28">
        <f>[2]PERBEDAAN!I18</f>
        <v>3</v>
      </c>
      <c r="E18" s="28">
        <f>[2]PERBEDAAN!J18</f>
        <v>3</v>
      </c>
      <c r="F18" s="28">
        <f>[2]PERBEDAAN!K18</f>
        <v>5</v>
      </c>
      <c r="G18" s="28">
        <f>SUM(D18:F18)</f>
        <v>11</v>
      </c>
      <c r="H18" s="28">
        <f>[2]PERBEDAAN!M18</f>
        <v>12888569</v>
      </c>
      <c r="I18" s="28">
        <f>SUMIF(gol_C,C18,peg_c)</f>
        <v>3</v>
      </c>
      <c r="J18" s="28">
        <f>SUMIF(gol_C,C18,istri_C)</f>
        <v>3</v>
      </c>
      <c r="K18" s="28">
        <f>SUMIF(gol_C,C18,anak_C)</f>
        <v>5</v>
      </c>
      <c r="L18" s="28">
        <f>SUM(I18:K18)</f>
        <v>11</v>
      </c>
      <c r="M18" s="28">
        <f>SUMIF(gol_C,C18,c_jukot)</f>
        <v>12888569</v>
      </c>
      <c r="N18" s="28">
        <f>D18-I18</f>
        <v>0</v>
      </c>
      <c r="O18" s="28">
        <f>D18-I18</f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f>H18-M18</f>
        <v>0</v>
      </c>
      <c r="Y18" s="6"/>
      <c r="Z18" s="6"/>
      <c r="AA18" s="35"/>
      <c r="AB18" s="6"/>
      <c r="AC18" s="6"/>
    </row>
    <row r="19" spans="1:33" s="3" customFormat="1" ht="20.149999999999999" customHeight="1" x14ac:dyDescent="0.35">
      <c r="A19" s="39"/>
      <c r="B19" s="42" t="s">
        <v>24</v>
      </c>
      <c r="C19" s="42"/>
      <c r="D19" s="22">
        <f>[3]PERBEDAAN!I19</f>
        <v>4</v>
      </c>
      <c r="E19" s="22">
        <f>[4]PERBEDAAN!J19</f>
        <v>4</v>
      </c>
      <c r="F19" s="22">
        <f>[3]PERBEDAAN!K19</f>
        <v>6</v>
      </c>
      <c r="G19" s="22">
        <f>SUM(D19:F19)</f>
        <v>14</v>
      </c>
      <c r="H19" s="22">
        <f>[3]PERBEDAAN!M19</f>
        <v>16470044</v>
      </c>
      <c r="I19" s="22">
        <f>SUM(I15:I18)</f>
        <v>4</v>
      </c>
      <c r="J19" s="22">
        <f>SUM(J15:J18)</f>
        <v>4</v>
      </c>
      <c r="K19" s="22">
        <f>SUM(K15:K18)</f>
        <v>6</v>
      </c>
      <c r="L19" s="22">
        <f>SUM(I19:K19)</f>
        <v>14</v>
      </c>
      <c r="M19" s="22">
        <f>SUM(M15:M18)</f>
        <v>16604660</v>
      </c>
      <c r="N19" s="22">
        <f>SUM(N15:N18)</f>
        <v>0</v>
      </c>
      <c r="O19" s="22">
        <f>SUM(O15:O18)</f>
        <v>0</v>
      </c>
      <c r="P19" s="22">
        <f>SUM(P15:P18)</f>
        <v>0</v>
      </c>
      <c r="Q19" s="22">
        <f>SUM(Q15:Q18)</f>
        <v>0</v>
      </c>
      <c r="R19" s="22">
        <f>SUM(R15:R18)</f>
        <v>0</v>
      </c>
      <c r="S19" s="22">
        <f>SUM(S15:S18)</f>
        <v>0</v>
      </c>
      <c r="T19" s="22">
        <f>SUM(T15:T18)</f>
        <v>0</v>
      </c>
      <c r="U19" s="22">
        <v>0</v>
      </c>
      <c r="V19" s="22">
        <f>SUM(V15:V18)</f>
        <v>0</v>
      </c>
      <c r="W19" s="22">
        <f>M19-H19</f>
        <v>134616</v>
      </c>
      <c r="Y19" s="41"/>
      <c r="Z19" s="6"/>
      <c r="AB19" s="6"/>
    </row>
    <row r="20" spans="1:33" ht="20.149999999999999" customHeight="1" x14ac:dyDescent="0.35">
      <c r="A20" s="36">
        <v>3</v>
      </c>
      <c r="B20" s="33" t="s">
        <v>23</v>
      </c>
      <c r="C20" s="33" t="s">
        <v>22</v>
      </c>
      <c r="D20" s="28">
        <f>[2]PERBEDAAN!I20</f>
        <v>1</v>
      </c>
      <c r="E20" s="28">
        <f>[2]PERBEDAAN!J20</f>
        <v>1</v>
      </c>
      <c r="F20" s="28">
        <f>[2]PERBEDAAN!K20</f>
        <v>0</v>
      </c>
      <c r="G20" s="28">
        <f>SUM(D20:F20)</f>
        <v>2</v>
      </c>
      <c r="H20" s="28">
        <f>[2]PERBEDAAN!M20</f>
        <v>4508202</v>
      </c>
      <c r="I20" s="28">
        <f>SUMIF(gol_C,C20,peg_c)</f>
        <v>1</v>
      </c>
      <c r="J20" s="28">
        <f>SUMIF(gol_C,C20,istri_C)</f>
        <v>1</v>
      </c>
      <c r="K20" s="28">
        <f>SUMIF(gol_C,C20,anak_C)</f>
        <v>0</v>
      </c>
      <c r="L20" s="28">
        <f>SUM(I20:K20)</f>
        <v>2</v>
      </c>
      <c r="M20" s="28">
        <f>SUMIF(gol_C,C20,c_jukot)</f>
        <v>4508202</v>
      </c>
      <c r="N20" s="28">
        <f>D20-I20</f>
        <v>0</v>
      </c>
      <c r="O20" s="28">
        <f>D20-I20</f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f>M20-H20</f>
        <v>0</v>
      </c>
      <c r="Z20" s="6"/>
      <c r="AB20" s="3"/>
      <c r="AC20" s="11"/>
    </row>
    <row r="21" spans="1:33" ht="20.149999999999999" customHeight="1" x14ac:dyDescent="0.35">
      <c r="A21" s="34"/>
      <c r="B21" s="33" t="s">
        <v>21</v>
      </c>
      <c r="C21" s="33" t="s">
        <v>20</v>
      </c>
      <c r="D21" s="28">
        <f>[2]PERBEDAAN!I21</f>
        <v>3</v>
      </c>
      <c r="E21" s="28">
        <f>[2]PERBEDAAN!J21</f>
        <v>1</v>
      </c>
      <c r="F21" s="28">
        <f>[2]PERBEDAAN!K21</f>
        <v>2</v>
      </c>
      <c r="G21" s="28">
        <f>SUM(D21:F21)</f>
        <v>6</v>
      </c>
      <c r="H21" s="28">
        <f>[2]PERBEDAAN!M21</f>
        <v>14906684</v>
      </c>
      <c r="I21" s="28">
        <f>SUMIF(gol_C,C21,peg_c)</f>
        <v>3</v>
      </c>
      <c r="J21" s="28">
        <f>SUMIF(gol_C,C21,istri_C)</f>
        <v>1</v>
      </c>
      <c r="K21" s="28">
        <f>SUMIF(gol_C,C21,anak_C)</f>
        <v>2</v>
      </c>
      <c r="L21" s="28">
        <f>SUM(I21:K21)</f>
        <v>6</v>
      </c>
      <c r="M21" s="28">
        <f>SUMIF(gol_C,C21,c_jukot)</f>
        <v>14906684</v>
      </c>
      <c r="N21" s="28">
        <f>D21-I21</f>
        <v>0</v>
      </c>
      <c r="O21" s="28">
        <v>0</v>
      </c>
      <c r="P21" s="28">
        <f>J21-E21</f>
        <v>0</v>
      </c>
      <c r="Q21" s="28">
        <v>0</v>
      </c>
      <c r="R21" s="28">
        <f>K21-F21</f>
        <v>0</v>
      </c>
      <c r="S21" s="28">
        <v>0</v>
      </c>
      <c r="T21" s="28">
        <f>L21-G21</f>
        <v>0</v>
      </c>
      <c r="U21" s="28">
        <v>0</v>
      </c>
      <c r="V21" s="28">
        <v>0</v>
      </c>
      <c r="W21" s="28">
        <f>M21-H21</f>
        <v>0</v>
      </c>
      <c r="Y21" s="38"/>
      <c r="Z21" s="25"/>
      <c r="AA21" s="38"/>
      <c r="AC21" s="40"/>
    </row>
    <row r="22" spans="1:33" ht="20.149999999999999" customHeight="1" x14ac:dyDescent="0.35">
      <c r="A22" s="34"/>
      <c r="B22" s="33" t="s">
        <v>19</v>
      </c>
      <c r="C22" s="33" t="s">
        <v>18</v>
      </c>
      <c r="D22" s="28">
        <f>[2]PERBEDAAN!I22</f>
        <v>2</v>
      </c>
      <c r="E22" s="28">
        <f>[2]PERBEDAAN!J22</f>
        <v>2</v>
      </c>
      <c r="F22" s="28">
        <f>[2]PERBEDAAN!K22</f>
        <v>4</v>
      </c>
      <c r="G22" s="28">
        <f>SUM(D22:F22)</f>
        <v>8</v>
      </c>
      <c r="H22" s="28">
        <f>[2]PERBEDAAN!M22</f>
        <v>10820383</v>
      </c>
      <c r="I22" s="28">
        <f>SUMIF(gol_C,C22,peg_c)</f>
        <v>2</v>
      </c>
      <c r="J22" s="28">
        <f>SUMIF(gol_C,C22,istri_C)</f>
        <v>2</v>
      </c>
      <c r="K22" s="28">
        <f>SUMIF(gol_C,C22,anak_C)</f>
        <v>4</v>
      </c>
      <c r="L22" s="28">
        <f>SUM(I22:K22)</f>
        <v>8</v>
      </c>
      <c r="M22" s="28">
        <f>SUMIF(gol_C,C22,c_jukot)</f>
        <v>10977962</v>
      </c>
      <c r="N22" s="28">
        <f>D22-I22</f>
        <v>0</v>
      </c>
      <c r="O22" s="28">
        <f>D22-I22</f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f>M22-H22</f>
        <v>157579</v>
      </c>
      <c r="Y22" s="25"/>
      <c r="Z22" s="32"/>
      <c r="AA22" s="25"/>
      <c r="AB22" s="40"/>
      <c r="AC22" s="6"/>
    </row>
    <row r="23" spans="1:33" ht="20.149999999999999" customHeight="1" x14ac:dyDescent="0.35">
      <c r="A23" s="34"/>
      <c r="B23" s="33" t="s">
        <v>17</v>
      </c>
      <c r="C23" s="33" t="s">
        <v>16</v>
      </c>
      <c r="D23" s="28">
        <f>[2]PERBEDAAN!I23</f>
        <v>2</v>
      </c>
      <c r="E23" s="28">
        <f>[2]PERBEDAAN!J23</f>
        <v>1</v>
      </c>
      <c r="F23" s="28">
        <f>[2]PERBEDAAN!K23</f>
        <v>2</v>
      </c>
      <c r="G23" s="28">
        <f>SUM(D23:F23)</f>
        <v>5</v>
      </c>
      <c r="H23" s="28">
        <f>[2]PERBEDAAN!M23</f>
        <v>11566055</v>
      </c>
      <c r="I23" s="28">
        <f>SUMIF(gol_C,C23,peg_c)</f>
        <v>2</v>
      </c>
      <c r="J23" s="28">
        <f>SUMIF(gol_C,C23,istri_C)</f>
        <v>1</v>
      </c>
      <c r="K23" s="28">
        <f>SUMIF(gol_C,C23,anak_C)</f>
        <v>2</v>
      </c>
      <c r="L23" s="28">
        <f>SUM(I23:K23)</f>
        <v>5</v>
      </c>
      <c r="M23" s="28">
        <f>SUMIF(gol_C,C23,c_jukot)</f>
        <v>11566055</v>
      </c>
      <c r="N23" s="28">
        <f>D23-I23</f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f>M23-H23</f>
        <v>0</v>
      </c>
      <c r="Y23" s="25"/>
      <c r="Z23" s="25"/>
      <c r="AA23" s="25"/>
    </row>
    <row r="24" spans="1:33" s="3" customFormat="1" ht="20.149999999999999" customHeight="1" x14ac:dyDescent="0.35">
      <c r="A24" s="39"/>
      <c r="B24" s="29" t="s">
        <v>15</v>
      </c>
      <c r="C24" s="29"/>
      <c r="D24" s="22">
        <f>[3]PERBEDAAN!I24</f>
        <v>8</v>
      </c>
      <c r="E24" s="22">
        <f>[4]PERBEDAAN!J24</f>
        <v>5</v>
      </c>
      <c r="F24" s="22">
        <f>[3]PERBEDAAN!K24</f>
        <v>8</v>
      </c>
      <c r="G24" s="22">
        <f>SUM(D24:F24)</f>
        <v>21</v>
      </c>
      <c r="H24" s="22">
        <f>[3]PERBEDAAN!M24</f>
        <v>41429568</v>
      </c>
      <c r="I24" s="22">
        <f>SUM(I20:I23)</f>
        <v>8</v>
      </c>
      <c r="J24" s="22">
        <f>SUM(J20:J23)</f>
        <v>5</v>
      </c>
      <c r="K24" s="22">
        <f>SUM(K20:K23)</f>
        <v>8</v>
      </c>
      <c r="L24" s="22">
        <f>SUM(I24:K24)</f>
        <v>21</v>
      </c>
      <c r="M24" s="22">
        <f>SUM(M20:M23)</f>
        <v>41958903</v>
      </c>
      <c r="N24" s="22">
        <f>SUM(N20:N23)</f>
        <v>0</v>
      </c>
      <c r="O24" s="22">
        <f>SUM(O20:O23)</f>
        <v>0</v>
      </c>
      <c r="P24" s="22">
        <f>SUM(P20:P23)</f>
        <v>0</v>
      </c>
      <c r="Q24" s="22">
        <f>SUM(Q20:Q23)</f>
        <v>0</v>
      </c>
      <c r="R24" s="22">
        <f>SUM(R20:R23)</f>
        <v>0</v>
      </c>
      <c r="S24" s="22">
        <f>SUM(S20:S23)</f>
        <v>0</v>
      </c>
      <c r="T24" s="22">
        <f>SUM(T20:T23)</f>
        <v>0</v>
      </c>
      <c r="U24" s="22">
        <f>SUM(U20:U23)</f>
        <v>0</v>
      </c>
      <c r="V24" s="22">
        <f>V20+V21+V22+V23</f>
        <v>0</v>
      </c>
      <c r="W24" s="22">
        <f>M24-H24</f>
        <v>529335</v>
      </c>
      <c r="Y24" s="25"/>
      <c r="Z24" s="38"/>
      <c r="AA24" s="25"/>
      <c r="AB24" s="6"/>
      <c r="AG24" s="37"/>
    </row>
    <row r="25" spans="1:33" ht="20.149999999999999" customHeight="1" x14ac:dyDescent="0.35">
      <c r="A25" s="36">
        <v>4</v>
      </c>
      <c r="B25" s="33" t="s">
        <v>14</v>
      </c>
      <c r="C25" s="33" t="s">
        <v>13</v>
      </c>
      <c r="D25" s="28">
        <f>[2]PERBEDAAN!I25</f>
        <v>1</v>
      </c>
      <c r="E25" s="28">
        <f>[2]PERBEDAAN!J25</f>
        <v>0</v>
      </c>
      <c r="F25" s="28">
        <f>[2]PERBEDAAN!K25</f>
        <v>0</v>
      </c>
      <c r="G25" s="28">
        <f>SUM(D25:F25)</f>
        <v>1</v>
      </c>
      <c r="H25" s="28">
        <f>[2]PERBEDAAN!M25</f>
        <v>5705171</v>
      </c>
      <c r="I25" s="28">
        <f>SUMIF(gol_C,C25,peg_c)</f>
        <v>1</v>
      </c>
      <c r="J25" s="28">
        <f>SUMIF(gol_C,C25,istri_C)</f>
        <v>0</v>
      </c>
      <c r="K25" s="28">
        <f>SUMIF(gol_C,C25,anak_C)</f>
        <v>0</v>
      </c>
      <c r="L25" s="28">
        <f>SUM(I25:K25)</f>
        <v>1</v>
      </c>
      <c r="M25" s="28">
        <f>SUMIF(gol_C,C25,c_jukot)</f>
        <v>5705171</v>
      </c>
      <c r="N25" s="28">
        <f>D25-I25</f>
        <v>0</v>
      </c>
      <c r="O25" s="28">
        <f>D25-I25</f>
        <v>0</v>
      </c>
      <c r="P25" s="28">
        <v>0</v>
      </c>
      <c r="Q25" s="28">
        <f>E25-J25</f>
        <v>0</v>
      </c>
      <c r="R25" s="28">
        <v>0</v>
      </c>
      <c r="S25" s="28">
        <f>F25-K25</f>
        <v>0</v>
      </c>
      <c r="T25" s="28">
        <v>0</v>
      </c>
      <c r="U25" s="28">
        <f>G25-L25</f>
        <v>0</v>
      </c>
      <c r="V25" s="28">
        <v>0</v>
      </c>
      <c r="W25" s="28">
        <f>M25-H25</f>
        <v>0</v>
      </c>
      <c r="Y25" s="25"/>
      <c r="Z25" s="25"/>
      <c r="AA25" s="25"/>
      <c r="AB25" s="35"/>
    </row>
    <row r="26" spans="1:33" ht="20.149999999999999" customHeight="1" x14ac:dyDescent="0.35">
      <c r="A26" s="34"/>
      <c r="B26" s="33" t="s">
        <v>12</v>
      </c>
      <c r="C26" s="33" t="s">
        <v>11</v>
      </c>
      <c r="D26" s="28">
        <f>[2]PERBEDAAN!I26</f>
        <v>0</v>
      </c>
      <c r="E26" s="28">
        <f>[2]PERBEDAAN!J26</f>
        <v>0</v>
      </c>
      <c r="F26" s="28">
        <f>[2]PERBEDAAN!K26</f>
        <v>0</v>
      </c>
      <c r="G26" s="28">
        <f>SUM(D26:F26)</f>
        <v>0</v>
      </c>
      <c r="H26" s="28">
        <f>[2]PERBEDAAN!M26</f>
        <v>0</v>
      </c>
      <c r="I26" s="28">
        <f>SUMIF(gol_C,C26,peg_c)</f>
        <v>0</v>
      </c>
      <c r="J26" s="28">
        <f>SUMIF(gol_C,C26,istri_C)</f>
        <v>0</v>
      </c>
      <c r="K26" s="28">
        <f>SUMIF(gol_C,C26,anak_C)</f>
        <v>0</v>
      </c>
      <c r="L26" s="28">
        <f>SUM(I26:K26)</f>
        <v>0</v>
      </c>
      <c r="M26" s="28">
        <f>SUMIF(gol_C,C26,c_jukot)</f>
        <v>0</v>
      </c>
      <c r="N26" s="28">
        <f>D26-I26</f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f>M26-H26</f>
        <v>0</v>
      </c>
      <c r="Y26" s="32"/>
      <c r="Z26" s="25"/>
      <c r="AA26" s="25"/>
    </row>
    <row r="27" spans="1:33" ht="20.149999999999999" customHeight="1" x14ac:dyDescent="0.35">
      <c r="A27" s="34"/>
      <c r="B27" s="33" t="s">
        <v>10</v>
      </c>
      <c r="C27" s="33" t="s">
        <v>9</v>
      </c>
      <c r="D27" s="28">
        <f>[2]PERBEDAAN!I27</f>
        <v>0</v>
      </c>
      <c r="E27" s="28">
        <f>[2]PERBEDAAN!J27</f>
        <v>0</v>
      </c>
      <c r="F27" s="28">
        <f>[2]PERBEDAAN!K27</f>
        <v>0</v>
      </c>
      <c r="G27" s="28">
        <f>SUM(D27:F27)</f>
        <v>0</v>
      </c>
      <c r="H27" s="28">
        <f>[2]PERBEDAAN!M27</f>
        <v>0</v>
      </c>
      <c r="I27" s="28">
        <f>SUMIF(gol_C,C27,peg_c)</f>
        <v>0</v>
      </c>
      <c r="J27" s="28">
        <f>SUMIF(gol_C,C27,istri_C)</f>
        <v>0</v>
      </c>
      <c r="K27" s="28">
        <f>SUMIF(gol_C,C27,anak_C)</f>
        <v>0</v>
      </c>
      <c r="L27" s="28">
        <f>SUM(I27:K27)</f>
        <v>0</v>
      </c>
      <c r="M27" s="28">
        <f>SUMIF(gol_C,C27,c_jukot)</f>
        <v>0</v>
      </c>
      <c r="N27" s="28">
        <f>D27-I27</f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f>M27-H27</f>
        <v>0</v>
      </c>
      <c r="Y27" s="25"/>
      <c r="Z27" s="26"/>
      <c r="AA27" s="25"/>
      <c r="AB27" s="28"/>
      <c r="AC27" s="6"/>
    </row>
    <row r="28" spans="1:33" ht="20.149999999999999" customHeight="1" x14ac:dyDescent="0.35">
      <c r="A28" s="34"/>
      <c r="B28" s="33" t="s">
        <v>8</v>
      </c>
      <c r="C28" s="33" t="s">
        <v>7</v>
      </c>
      <c r="D28" s="28">
        <f>[2]PERBEDAAN!I28</f>
        <v>0</v>
      </c>
      <c r="E28" s="28">
        <f>[2]PERBEDAAN!J28</f>
        <v>0</v>
      </c>
      <c r="F28" s="28">
        <f>[2]PERBEDAAN!K28</f>
        <v>0</v>
      </c>
      <c r="G28" s="28">
        <f>SUM(D28:F28)</f>
        <v>0</v>
      </c>
      <c r="H28" s="28">
        <f>[2]PERBEDAAN!M28</f>
        <v>0</v>
      </c>
      <c r="I28" s="28">
        <f>SUMIF(gol_C,C28,peg_c)</f>
        <v>0</v>
      </c>
      <c r="J28" s="28">
        <f>SUMIF(gol_C,C28,istri_C)</f>
        <v>0</v>
      </c>
      <c r="K28" s="28">
        <f>SUMIF(gol_C,C28,anak_C)</f>
        <v>0</v>
      </c>
      <c r="L28" s="28">
        <f>SUM(I28:K28)</f>
        <v>0</v>
      </c>
      <c r="M28" s="28">
        <f>SUMIF(gol_C,C28,c_jukot)</f>
        <v>0</v>
      </c>
      <c r="N28" s="28">
        <f>D28-I28</f>
        <v>0</v>
      </c>
      <c r="O28" s="28">
        <v>0</v>
      </c>
      <c r="P28" s="28">
        <f>J28-E28</f>
        <v>0</v>
      </c>
      <c r="Q28" s="28">
        <v>0</v>
      </c>
      <c r="R28" s="28">
        <f>K28-F28</f>
        <v>0</v>
      </c>
      <c r="S28" s="28">
        <v>0</v>
      </c>
      <c r="T28" s="28">
        <f>N28+P28+R28</f>
        <v>0</v>
      </c>
      <c r="U28" s="28">
        <v>0</v>
      </c>
      <c r="V28" s="28">
        <v>0</v>
      </c>
      <c r="W28" s="28">
        <f>M28-H28</f>
        <v>0</v>
      </c>
      <c r="Y28" s="27"/>
      <c r="Z28" s="25"/>
      <c r="AA28" s="32"/>
      <c r="AB28" s="4"/>
      <c r="AC28" s="31"/>
    </row>
    <row r="29" spans="1:33" s="3" customFormat="1" ht="15.5" x14ac:dyDescent="0.35">
      <c r="A29" s="30"/>
      <c r="B29" s="29" t="s">
        <v>6</v>
      </c>
      <c r="C29" s="29"/>
      <c r="D29" s="22">
        <f>SUM(D25:D28)</f>
        <v>1</v>
      </c>
      <c r="E29" s="22">
        <f>SUM(E25:E28)</f>
        <v>0</v>
      </c>
      <c r="F29" s="22">
        <f>SUM(F25:F28)</f>
        <v>0</v>
      </c>
      <c r="G29" s="22">
        <f>SUM(G25:G28)</f>
        <v>1</v>
      </c>
      <c r="H29" s="22">
        <f>SUM(H25:H28)</f>
        <v>5705171</v>
      </c>
      <c r="I29" s="22">
        <f>SUM(I25:I28)</f>
        <v>1</v>
      </c>
      <c r="J29" s="22">
        <f>SUM(J25:J28)</f>
        <v>0</v>
      </c>
      <c r="K29" s="22">
        <f>SUM(K25:K28)</f>
        <v>0</v>
      </c>
      <c r="L29" s="22">
        <f>SUM(I29:K29)</f>
        <v>1</v>
      </c>
      <c r="M29" s="22">
        <f>SUM(M25:M28)</f>
        <v>5705171</v>
      </c>
      <c r="N29" s="22">
        <f>SUM(N25:N28)</f>
        <v>0</v>
      </c>
      <c r="O29" s="22">
        <f>SUM(O25:O28)</f>
        <v>0</v>
      </c>
      <c r="P29" s="22">
        <f>SUM(P25:P28)</f>
        <v>0</v>
      </c>
      <c r="Q29" s="22">
        <f>SUM(Q25:Q28)</f>
        <v>0</v>
      </c>
      <c r="R29" s="22">
        <f>SUM(R25:R28)</f>
        <v>0</v>
      </c>
      <c r="S29" s="22">
        <f>SUM(S25:S28)</f>
        <v>0</v>
      </c>
      <c r="T29" s="22">
        <f>SUM(T25:T28)</f>
        <v>0</v>
      </c>
      <c r="U29" s="22">
        <f>SUM(U25:U28)</f>
        <v>0</v>
      </c>
      <c r="V29" s="22">
        <f>SUM(V25:V28)</f>
        <v>0</v>
      </c>
      <c r="W29" s="28">
        <f>M29-H29</f>
        <v>0</v>
      </c>
      <c r="Y29" s="27"/>
      <c r="Z29" s="26"/>
      <c r="AA29" s="25"/>
      <c r="AB29" s="1"/>
    </row>
    <row r="30" spans="1:33" s="3" customFormat="1" ht="15.5" x14ac:dyDescent="0.35">
      <c r="A30" s="24"/>
      <c r="B30" s="24" t="s">
        <v>5</v>
      </c>
      <c r="C30" s="24"/>
      <c r="D30" s="22">
        <f>SUM(D14+D19+D24+D29)</f>
        <v>14</v>
      </c>
      <c r="E30" s="22">
        <f>SUM(E14+E19+E24+E29)</f>
        <v>9</v>
      </c>
      <c r="F30" s="22">
        <f>SUM(F14+F19+F24+F29)</f>
        <v>14</v>
      </c>
      <c r="G30" s="22">
        <f>SUM(G14+G19+G24+G29)</f>
        <v>37</v>
      </c>
      <c r="H30" s="23">
        <f>H14+H19+H24+H29</f>
        <v>66495966</v>
      </c>
      <c r="I30" s="22">
        <f>SUM(I14+I19+I24+I29)</f>
        <v>14</v>
      </c>
      <c r="J30" s="22">
        <f>SUM(J14+J19+J24+J29)</f>
        <v>9</v>
      </c>
      <c r="K30" s="22">
        <f>SUM(K14+K19+K24+K29)</f>
        <v>14</v>
      </c>
      <c r="L30" s="22">
        <f>SUM(L14+L19+L24+L29)</f>
        <v>37</v>
      </c>
      <c r="M30" s="23">
        <f>M14+M19+M24+M29</f>
        <v>67159917</v>
      </c>
      <c r="N30" s="22">
        <f>SUM(N14+N19+N24+N29)</f>
        <v>0</v>
      </c>
      <c r="O30" s="22">
        <f>SUM(O14+O19+O24+O29)</f>
        <v>0</v>
      </c>
      <c r="P30" s="22">
        <f>SUM(P14+P19+P24+P29)</f>
        <v>0</v>
      </c>
      <c r="Q30" s="22">
        <f>SUM(Q14+Q19+Q24+Q29)</f>
        <v>0</v>
      </c>
      <c r="R30" s="22">
        <f>SUM(R14+R19+R24+R29)</f>
        <v>0</v>
      </c>
      <c r="S30" s="22">
        <f>SUM(S14+S19+S24+S29)</f>
        <v>0</v>
      </c>
      <c r="T30" s="22">
        <f>SUM(T14+T19+T24+T29)</f>
        <v>0</v>
      </c>
      <c r="U30" s="22">
        <f>SUM(U14+U19+U24+U29)</f>
        <v>0</v>
      </c>
      <c r="V30" s="22">
        <f>V14+V19++V24</f>
        <v>0</v>
      </c>
      <c r="W30" s="22">
        <f>M30-H30</f>
        <v>663951</v>
      </c>
      <c r="Y30" s="18"/>
      <c r="Z30" s="1"/>
      <c r="AC30" s="21"/>
    </row>
    <row r="31" spans="1:33" ht="15.5" x14ac:dyDescent="0.35">
      <c r="A31" s="9"/>
      <c r="B31" s="9"/>
      <c r="C31" s="9"/>
      <c r="D31" s="20"/>
      <c r="E31" s="20"/>
      <c r="F31" s="20"/>
      <c r="G31" s="20"/>
      <c r="H31" s="20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Y31" s="18"/>
      <c r="AA31" s="3"/>
      <c r="AB31" s="3"/>
    </row>
    <row r="32" spans="1:33" ht="15.5" x14ac:dyDescent="0.35">
      <c r="A32" s="9"/>
      <c r="B32" s="9"/>
      <c r="C32" s="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S32" s="19" t="str">
        <f>[1]SPP1!G35</f>
        <v>Watumalang, 21 April  2025</v>
      </c>
      <c r="T32" s="19"/>
      <c r="U32" s="19"/>
      <c r="V32" s="19"/>
      <c r="W32" s="19"/>
      <c r="Y32" s="18"/>
      <c r="Z32" s="17"/>
    </row>
    <row r="33" spans="1:26" ht="15.5" x14ac:dyDescent="0.35">
      <c r="A33" s="9"/>
      <c r="B33" s="9"/>
      <c r="C33" s="9"/>
      <c r="D33" s="8"/>
      <c r="E33" s="8"/>
      <c r="F33" s="8"/>
      <c r="G33" s="8"/>
      <c r="H33" s="8"/>
      <c r="I33" s="8"/>
      <c r="J33" s="8"/>
      <c r="K33" s="8"/>
      <c r="L33" s="8"/>
      <c r="M33" s="16"/>
      <c r="N33" s="8"/>
      <c r="O33" s="8"/>
      <c r="P33" s="8"/>
      <c r="Q33" s="8"/>
      <c r="R33" s="8"/>
      <c r="S33" s="8"/>
      <c r="T33" s="8"/>
      <c r="U33" s="8"/>
      <c r="V33" s="8"/>
      <c r="W33" s="8"/>
      <c r="Y33" s="17"/>
      <c r="Z33" s="3"/>
    </row>
    <row r="34" spans="1:26" ht="15.5" x14ac:dyDescent="0.35">
      <c r="A34" s="8"/>
      <c r="B34" s="7" t="s">
        <v>4</v>
      </c>
      <c r="C34" s="7"/>
      <c r="D34" s="7"/>
      <c r="E34" s="7"/>
      <c r="F34" s="7"/>
      <c r="G34" s="7"/>
      <c r="H34" s="8"/>
      <c r="I34" s="9"/>
      <c r="J34" s="8"/>
      <c r="K34" s="9"/>
      <c r="L34" s="9"/>
      <c r="M34" s="16"/>
      <c r="N34" s="8"/>
      <c r="O34" s="9"/>
      <c r="P34" s="8"/>
      <c r="Q34" s="8"/>
      <c r="R34" s="8"/>
      <c r="S34" s="7" t="s">
        <v>3</v>
      </c>
      <c r="T34" s="7"/>
      <c r="U34" s="7"/>
      <c r="V34" s="7"/>
      <c r="W34" s="7"/>
      <c r="X34" s="11"/>
    </row>
    <row r="35" spans="1:26" ht="15.5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9"/>
      <c r="M35" s="16"/>
      <c r="N35" s="8"/>
      <c r="O35" s="8"/>
      <c r="P35" s="8"/>
      <c r="Q35" s="8"/>
      <c r="R35" s="8"/>
      <c r="S35" s="7" t="s">
        <v>2</v>
      </c>
      <c r="T35" s="7"/>
      <c r="U35" s="7"/>
      <c r="V35" s="7"/>
      <c r="W35" s="7"/>
      <c r="X35" s="11"/>
    </row>
    <row r="36" spans="1:26" ht="25.5" customHeight="1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9"/>
      <c r="M36" s="16"/>
      <c r="N36" s="8"/>
      <c r="O36" s="8"/>
      <c r="P36" s="8"/>
      <c r="Q36" s="8"/>
      <c r="R36" s="8"/>
      <c r="S36" s="9"/>
      <c r="T36" s="9"/>
      <c r="U36" s="9"/>
      <c r="V36" s="9"/>
      <c r="W36" s="9"/>
      <c r="X36" s="11"/>
    </row>
    <row r="37" spans="1:26" ht="15.5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9"/>
      <c r="M37" s="8"/>
      <c r="N37" s="8"/>
      <c r="O37" s="15"/>
      <c r="P37" s="8"/>
      <c r="Q37" s="8"/>
      <c r="R37" s="8"/>
      <c r="S37" s="8"/>
      <c r="T37" s="8"/>
      <c r="U37" s="8"/>
      <c r="V37" s="8"/>
      <c r="W37" s="8"/>
    </row>
    <row r="38" spans="1:26" ht="15.5" x14ac:dyDescent="0.35">
      <c r="A38" s="8"/>
      <c r="B38" s="14" t="s">
        <v>1</v>
      </c>
      <c r="C38" s="14"/>
      <c r="D38" s="14"/>
      <c r="E38" s="14"/>
      <c r="F38" s="14"/>
      <c r="G38" s="14"/>
      <c r="H38" s="8"/>
      <c r="I38" s="9"/>
      <c r="J38" s="8"/>
      <c r="K38" s="9"/>
      <c r="L38" s="9"/>
      <c r="M38" s="9"/>
      <c r="N38" s="8"/>
      <c r="O38" s="13"/>
      <c r="P38" s="8"/>
      <c r="Q38" s="8"/>
      <c r="R38" s="8"/>
      <c r="S38" s="12" t="str">
        <f>[1]SPP1!G42</f>
        <v>SOLEH</v>
      </c>
      <c r="T38" s="12"/>
      <c r="U38" s="12"/>
      <c r="V38" s="12"/>
      <c r="W38" s="12"/>
      <c r="X38" s="11"/>
    </row>
    <row r="39" spans="1:26" ht="15.5" x14ac:dyDescent="0.35">
      <c r="A39" s="8"/>
      <c r="B39" s="5" t="s">
        <v>0</v>
      </c>
      <c r="C39" s="5"/>
      <c r="D39" s="5"/>
      <c r="E39" s="5"/>
      <c r="F39" s="5"/>
      <c r="G39" s="5"/>
      <c r="H39" s="8"/>
      <c r="I39" s="8"/>
      <c r="J39" s="8"/>
      <c r="K39" s="10"/>
      <c r="L39" s="9"/>
      <c r="M39" s="8"/>
      <c r="N39" s="8"/>
      <c r="O39" s="8"/>
      <c r="P39" s="8"/>
      <c r="Q39" s="8"/>
      <c r="R39" s="8"/>
      <c r="S39" s="7" t="str">
        <f>[1]SPP1!G43</f>
        <v>NIP. 19710815 201212 1 001</v>
      </c>
      <c r="T39" s="7"/>
      <c r="U39" s="7"/>
      <c r="V39" s="7"/>
      <c r="W39" s="7"/>
    </row>
    <row r="40" spans="1:26" x14ac:dyDescent="0.25">
      <c r="Y40" s="6"/>
    </row>
    <row r="41" spans="1:26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6" x14ac:dyDescent="0.25">
      <c r="Y42" s="4"/>
    </row>
    <row r="46" spans="1:26" ht="13" x14ac:dyDescent="0.3">
      <c r="V46" s="3"/>
    </row>
    <row r="53" spans="8:23" x14ac:dyDescent="0.25">
      <c r="H53" s="2"/>
      <c r="M53" s="2"/>
    </row>
    <row r="55" spans="8:23" x14ac:dyDescent="0.25">
      <c r="H55" s="2"/>
      <c r="M55" s="2"/>
    </row>
    <row r="56" spans="8:23" x14ac:dyDescent="0.25">
      <c r="H56" s="2"/>
      <c r="M56" s="2"/>
    </row>
    <row r="57" spans="8:23" x14ac:dyDescent="0.25">
      <c r="H57" s="2"/>
      <c r="M57" s="2"/>
    </row>
    <row r="58" spans="8:23" x14ac:dyDescent="0.25">
      <c r="H58" s="2"/>
      <c r="M58" s="2"/>
      <c r="W58" s="2"/>
    </row>
    <row r="59" spans="8:23" x14ac:dyDescent="0.25">
      <c r="H59" s="2"/>
      <c r="M59" s="2"/>
    </row>
    <row r="60" spans="8:23" x14ac:dyDescent="0.25">
      <c r="H60" s="2"/>
      <c r="M60" s="2"/>
      <c r="W60" s="2"/>
    </row>
    <row r="61" spans="8:23" x14ac:dyDescent="0.25">
      <c r="H61" s="2"/>
      <c r="M61" s="2"/>
      <c r="V61" s="2"/>
    </row>
    <row r="62" spans="8:23" x14ac:dyDescent="0.25">
      <c r="H62" s="2"/>
      <c r="M62" s="2"/>
    </row>
    <row r="63" spans="8:23" x14ac:dyDescent="0.25">
      <c r="H63" s="2"/>
      <c r="M63" s="2"/>
      <c r="V63" s="2"/>
    </row>
    <row r="64" spans="8:23" x14ac:dyDescent="0.25">
      <c r="H64" s="2"/>
      <c r="M64" s="2"/>
    </row>
    <row r="65" spans="8:23" x14ac:dyDescent="0.25">
      <c r="H65" s="2"/>
      <c r="M65" s="2"/>
      <c r="V65" s="2"/>
    </row>
    <row r="71" spans="8:23" x14ac:dyDescent="0.25">
      <c r="H71" s="2"/>
      <c r="M71" s="2"/>
      <c r="V71" s="2"/>
      <c r="W71" s="2"/>
    </row>
  </sheetData>
  <mergeCells count="28">
    <mergeCell ref="S35:W35"/>
    <mergeCell ref="S34:W34"/>
    <mergeCell ref="J7:J8"/>
    <mergeCell ref="K7:K8"/>
    <mergeCell ref="L7:L8"/>
    <mergeCell ref="M7:M8"/>
    <mergeCell ref="N7:O7"/>
    <mergeCell ref="P7:Q7"/>
    <mergeCell ref="H7:H8"/>
    <mergeCell ref="I7:I8"/>
    <mergeCell ref="B39:G39"/>
    <mergeCell ref="S39:W39"/>
    <mergeCell ref="A41:W41"/>
    <mergeCell ref="R7:S7"/>
    <mergeCell ref="T7:U7"/>
    <mergeCell ref="V7:W7"/>
    <mergeCell ref="S32:W32"/>
    <mergeCell ref="B34:G34"/>
    <mergeCell ref="B38:G38"/>
    <mergeCell ref="S38:W38"/>
    <mergeCell ref="A1:W1"/>
    <mergeCell ref="D6:H6"/>
    <mergeCell ref="I6:M6"/>
    <mergeCell ref="N6:W6"/>
    <mergeCell ref="D7:D8"/>
    <mergeCell ref="E7:E8"/>
    <mergeCell ref="F7:F8"/>
    <mergeCell ref="G7:G8"/>
  </mergeCells>
  <printOptions horizontalCentered="1"/>
  <pageMargins left="1.28" right="0.52" top="0.59055118110236227" bottom="0.6" header="0.51181102362204722" footer="0.51181102362204722"/>
  <pageSetup paperSize="5" scale="75" orientation="landscape" horizontalDpi="4294967293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PERBEDAAN</vt:lpstr>
      <vt:lpstr>PERBEDAAN!Print_Area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 Agunadi</dc:creator>
  <cp:lastModifiedBy>Hardi Agunadi</cp:lastModifiedBy>
  <dcterms:created xsi:type="dcterms:W3CDTF">2026-02-14T04:41:58Z</dcterms:created>
  <dcterms:modified xsi:type="dcterms:W3CDTF">2026-02-14T04:42:35Z</dcterms:modified>
</cp:coreProperties>
</file>